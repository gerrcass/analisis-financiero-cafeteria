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Supuestos" sheetId="2" state="visible" r:id="rId2"/>
    <sheet name="Productos" sheetId="3" state="visible" r:id="rId3"/>
    <sheet name="Personal" sheetId="4" state="visible" r:id="rId4"/>
    <sheet name="Costos" sheetId="5" state="visible" r:id="rId5"/>
    <sheet name="Pesimista" sheetId="6" state="visible" r:id="rId6"/>
    <sheet name="Base" sheetId="7" state="visible" r:id="rId7"/>
    <sheet name="Optimista" sheetId="8" state="visible" r:id="rId8"/>
  </sheets>
  <definedNames>
    <definedName name="BaseTicketsDay">Supuestos!$B$13</definedName>
    <definedName name="ItemsPerTicket">Supuestos!$B$14</definedName>
    <definedName name="Seasonality">Supuestos!$C$19:$N$19</definedName>
    <definedName name="OpeningDays">Supuestos!$C$20:$N$20</definedName>
    <definedName name="Ramp">Supuestos!$C$21:$N$21</definedName>
    <definedName name="ScenarioMatrix">Supuestos!$D$27:$F$36</definedName>
    <definedName name="Equity">Supuestos!$B$41</definedName>
    <definedName name="LoanAmount">Supuestos!$B$42</definedName>
    <definedName name="LoanRate">Supuestos!$B$43</definedName>
    <definedName name="LoanMonths">Supuestos!$B$44</definedName>
    <definedName name="OpeningCash">Supuestos!$B$45</definedName>
    <definedName name="WC0">Supuestos!$B$46</definedName>
    <definedName name="MinCash">Supuestos!$B$47</definedName>
    <definedName name="LoanPayment">Supuestos!$B$48</definedName>
    <definedName name="TaxRate">Supuestos!$B$53</definedName>
    <definedName name="InventoryDays">Supuestos!$B$54</definedName>
    <definedName name="PayableDays">Supuestos!$B$55</definedName>
    <definedName name="ReceivableDays">Supuestos!$B$56</definedName>
    <definedName name="RentGrowth">Supuestos!$B$61</definedName>
    <definedName name="FixedMarketingGrowth">Supuestos!$B$62</definedName>
    <definedName name="ProductPVP">Productos!$D$5:$D$12</definedName>
    <definedName name="ProductVAT">Productos!$E$5:$E$12</definedName>
    <definedName name="ProductNetPrice">Productos!$F$5:$F$12</definedName>
    <definedName name="ProductCost">Productos!$G$5:$G$12</definedName>
    <definedName name="ProductMix">Productos!$H$5:$H$12</definedName>
    <definedName name="ProductWaste">Productos!$I$5:$I$12</definedName>
    <definedName name="ProductCostAdj">Productos!$J$5:$J$12</definedName>
    <definedName name="ProductUnitMargin">Productos!$K$5:$K$12</definedName>
    <definedName name="WeightedNetPrice">Productos!$F$13</definedName>
    <definedName name="WeightedCostAdj">Productos!$J$13</definedName>
    <definedName name="StaffSalary">Personal!$B$5:$B$8</definedName>
    <definedName name="StaffFTE_Y1">Personal!$C$5:$C$8</definedName>
    <definedName name="StaffFTE_Y2">Personal!$D$5:$D$8</definedName>
    <definedName name="StaffFTE_Y3">Personal!$E$5:$E$8</definedName>
    <definedName name="StaffCostByYear">Personal!$F$9:$H$9</definedName>
    <definedName name="EmployerSS">Personal!$B$11</definedName>
    <definedName name="SalaryGrowth">Personal!$B$12</definedName>
    <definedName name="RentMonth">Costos!$B$6</definedName>
    <definedName name="UtilitiesMonth">Costos!$B$7</definedName>
    <definedName name="FixedServicesMonth">Costos!$B$8</definedName>
    <definedName name="FixedMarketingMonth">Costos!$B$9</definedName>
    <definedName name="OtherOpexMonth">Costos!$B$10</definedName>
    <definedName name="CapexAmount">Costos!$B$15:$B$20</definedName>
    <definedName name="CapexLife">Costos!$C$15:$C$20</definedName>
    <definedName name="TotalCapex">Costos!$B$21</definedName>
    <definedName name="MonthlyDepreciation">Costos!$E$21</definedName>
    <definedName name="MaintenanceCapexPct">Costos!$B$24</definedName>
    <definedName name="_xlnm.Print_Titles" localSheetId="5">'Pesimista'!$1:$9,'Pesimista'!$A:$B</definedName>
    <definedName name="_xlnm.Print_Titles" localSheetId="6">'Base'!$1:$9,'Base'!$A:$B</definedName>
    <definedName name="_xlnm.Print_Titles" localSheetId="7">'Optimista'!$1:$9,'Optimista'!$A:$B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9">
    <numFmt numFmtId="164" formatCode="yyyy-mm-dd"/>
    <numFmt numFmtId="165" formatCode="dd/mm/yyyy"/>
    <numFmt numFmtId="166" formatCode="0.0"/>
    <numFmt numFmtId="167" formatCode="0.000"/>
    <numFmt numFmtId="168" formatCode="0.0%"/>
    <numFmt numFmtId="169" formatCode="#,##0 €"/>
    <numFmt numFmtId="170" formatCode="#,##0.00 €"/>
    <numFmt numFmtId="171" formatCode="0.0000 €"/>
    <numFmt numFmtId="172" formatCode="0.00&quot;x&quot;"/>
  </numFmts>
  <fonts count="19">
    <font>
      <name val="Calibri"/>
      <family val="2"/>
      <color theme="1"/>
      <sz val="11"/>
      <scheme val="minor"/>
    </font>
    <font>
      <name val="Calibri"/>
      <b val="1"/>
      <color rgb="002B1D16"/>
      <sz val="30"/>
    </font>
    <font>
      <name val="Calibri"/>
      <color rgb="00C4623B"/>
      <sz val="17"/>
    </font>
    <font>
      <name val="Calibri"/>
      <color rgb="006F6259"/>
      <sz val="11"/>
    </font>
    <font>
      <name val="Calibri"/>
      <b val="1"/>
      <color rgb="00C4623B"/>
      <sz val="11"/>
    </font>
    <font>
      <name val="Calibri"/>
      <color rgb="002B1D16"/>
      <sz val="10"/>
    </font>
    <font>
      <name val="Calibri"/>
      <color rgb="001F4E79"/>
      <sz val="10"/>
    </font>
    <font>
      <name val="Calibri"/>
      <b val="1"/>
      <color rgb="005E6B52"/>
      <sz val="10"/>
    </font>
    <font>
      <name val="Calibri"/>
      <color rgb="006F6259"/>
      <sz val="10"/>
    </font>
    <font>
      <name val="Calibri"/>
      <b val="1"/>
      <color rgb="002B1D16"/>
      <sz val="11"/>
    </font>
    <font>
      <name val="Calibri"/>
      <b val="1"/>
      <color rgb="002B1D16"/>
      <sz val="10"/>
    </font>
    <font>
      <name val="Calibri"/>
      <b val="1"/>
      <color rgb="00A33A2B"/>
      <sz val="10"/>
    </font>
    <font>
      <name val="Calibri"/>
      <color rgb="00A33A2B"/>
      <sz val="10"/>
    </font>
    <font>
      <name val="Calibri"/>
      <b val="1"/>
      <color rgb="002B1D16"/>
      <sz val="18"/>
    </font>
    <font>
      <name val="Calibri"/>
      <b val="1"/>
      <color rgb="00FFFDF9"/>
      <sz val="10"/>
    </font>
    <font>
      <name val="Calibri"/>
      <i val="1"/>
      <color rgb="006F6259"/>
      <sz val="9"/>
    </font>
    <font>
      <name val="Calibri"/>
      <color rgb="006F6259"/>
      <sz val="9"/>
    </font>
    <font>
      <name val="Calibri"/>
      <b val="1"/>
      <color rgb="002B1D16"/>
      <sz val="16"/>
    </font>
    <font>
      <name val="Calibri"/>
      <b val="1"/>
      <color rgb="00C4623B"/>
      <sz val="10"/>
    </font>
  </fonts>
  <fills count="8">
    <fill>
      <patternFill/>
    </fill>
    <fill>
      <patternFill patternType="gray125"/>
    </fill>
    <fill>
      <patternFill patternType="solid">
        <fgColor rgb="00FFF4D6"/>
      </patternFill>
    </fill>
    <fill>
      <patternFill patternType="solid">
        <fgColor rgb="00FFFDF9"/>
      </patternFill>
    </fill>
    <fill>
      <patternFill patternType="solid">
        <fgColor rgb="00E2EFDA"/>
      </patternFill>
    </fill>
    <fill>
      <patternFill patternType="solid">
        <fgColor rgb="00C4623B"/>
      </patternFill>
    </fill>
    <fill>
      <patternFill patternType="solid">
        <fgColor rgb="002B1D16"/>
      </patternFill>
    </fill>
    <fill>
      <patternFill patternType="solid">
        <fgColor rgb="00F7F1E7"/>
      </patternFill>
    </fill>
  </fills>
  <borders count="4">
    <border>
      <left/>
      <right/>
      <top/>
      <bottom/>
      <diagonal/>
    </border>
    <border>
      <left style="thin">
        <color rgb="00E4D8C8"/>
      </left>
      <right style="thin">
        <color rgb="00E4D8C8"/>
      </right>
      <top style="thin">
        <color rgb="00E4D8C8"/>
      </top>
      <bottom style="thin">
        <color rgb="00E4D8C8"/>
      </bottom>
    </border>
    <border/>
    <border>
      <top style="medium">
        <color rgb="002B1D16"/>
      </top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center"/>
    </xf>
    <xf numFmtId="0" fontId="6" fillId="2" borderId="1" applyAlignment="1" pivotButton="0" quotePrefix="0" xfId="0">
      <alignment horizontal="right"/>
    </xf>
    <xf numFmtId="0" fontId="8" fillId="0" borderId="0" pivotButton="0" quotePrefix="0" xfId="0"/>
    <xf numFmtId="0" fontId="0" fillId="3" borderId="1" pivotButton="0" quotePrefix="0" xfId="0"/>
    <xf numFmtId="0" fontId="7" fillId="4" borderId="1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5" borderId="0" applyAlignment="1" pivotButton="0" quotePrefix="0" xfId="0">
      <alignment horizontal="left" vertical="center"/>
    </xf>
    <xf numFmtId="0" fontId="0" fillId="5" borderId="0" pivotButton="0" quotePrefix="0" xfId="0"/>
    <xf numFmtId="165" fontId="6" fillId="2" borderId="1" applyAlignment="1" pivotButton="0" quotePrefix="0" xfId="0">
      <alignment horizontal="right"/>
    </xf>
    <xf numFmtId="3" fontId="6" fillId="2" borderId="1" applyAlignment="1" pivotButton="0" quotePrefix="0" xfId="0">
      <alignment horizontal="right"/>
    </xf>
    <xf numFmtId="166" fontId="6" fillId="2" borderId="1" applyAlignment="1" pivotButton="0" quotePrefix="0" xfId="0">
      <alignment horizontal="right"/>
    </xf>
    <xf numFmtId="2" fontId="6" fillId="2" borderId="1" applyAlignment="1" pivotButton="0" quotePrefix="0" xfId="0">
      <alignment horizontal="right"/>
    </xf>
    <xf numFmtId="3" fontId="5" fillId="3" borderId="2" applyAlignment="1" pivotButton="0" quotePrefix="0" xfId="0">
      <alignment horizontal="left"/>
    </xf>
    <xf numFmtId="0" fontId="14" fillId="6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/>
    </xf>
    <xf numFmtId="167" fontId="6" fillId="2" borderId="1" applyAlignment="1" pivotButton="0" quotePrefix="0" xfId="0">
      <alignment horizontal="right"/>
    </xf>
    <xf numFmtId="167" fontId="5" fillId="3" borderId="2" pivotButton="0" quotePrefix="0" xfId="0"/>
    <xf numFmtId="3" fontId="5" fillId="3" borderId="2" pivotButton="0" quotePrefix="0" xfId="0"/>
    <xf numFmtId="0" fontId="15" fillId="0" borderId="0" pivotButton="0" quotePrefix="0" xfId="0"/>
    <xf numFmtId="0" fontId="8" fillId="0" borderId="0" applyAlignment="1" pivotButton="0" quotePrefix="0" xfId="0">
      <alignment horizontal="center"/>
    </xf>
    <xf numFmtId="0" fontId="5" fillId="0" borderId="0" pivotButton="0" quotePrefix="0" xfId="0"/>
    <xf numFmtId="168" fontId="6" fillId="2" borderId="1" applyAlignment="1" pivotButton="0" quotePrefix="0" xfId="0">
      <alignment horizontal="right"/>
    </xf>
    <xf numFmtId="169" fontId="6" fillId="2" borderId="1" applyAlignment="1" pivotButton="0" quotePrefix="0" xfId="0">
      <alignment horizontal="right"/>
    </xf>
    <xf numFmtId="170" fontId="5" fillId="3" borderId="2" applyAlignment="1" pivotButton="0" quotePrefix="0" xfId="0">
      <alignment horizontal="left"/>
    </xf>
    <xf numFmtId="168" fontId="5" fillId="3" borderId="2" pivotButton="0" quotePrefix="0" xfId="0"/>
    <xf numFmtId="2" fontId="5" fillId="3" borderId="2" pivotButton="0" quotePrefix="0" xfId="0"/>
    <xf numFmtId="169" fontId="5" fillId="3" borderId="2" pivotButton="0" quotePrefix="0" xfId="0"/>
    <xf numFmtId="0" fontId="5" fillId="3" borderId="2" pivotButton="0" quotePrefix="0" xfId="0"/>
    <xf numFmtId="0" fontId="15" fillId="4" borderId="0" pivotButton="0" quotePrefix="0" xfId="0"/>
    <xf numFmtId="170" fontId="6" fillId="2" borderId="1" applyAlignment="1" pivotButton="0" quotePrefix="0" xfId="0">
      <alignment horizontal="right"/>
    </xf>
    <xf numFmtId="168" fontId="0" fillId="0" borderId="0" pivotButton="0" quotePrefix="0" xfId="0"/>
    <xf numFmtId="171" fontId="5" fillId="3" borderId="2" pivotButton="0" quotePrefix="0" xfId="0"/>
    <xf numFmtId="1" fontId="5" fillId="3" borderId="2" pivotButton="0" quotePrefix="0" xfId="0"/>
    <xf numFmtId="170" fontId="10" fillId="7" borderId="3" pivotButton="0" quotePrefix="0" xfId="0"/>
    <xf numFmtId="0" fontId="10" fillId="7" borderId="3" pivotButton="0" quotePrefix="0" xfId="0"/>
    <xf numFmtId="171" fontId="10" fillId="7" borderId="3" pivotButton="0" quotePrefix="0" xfId="0"/>
    <xf numFmtId="168" fontId="10" fillId="7" borderId="3" pivotButton="0" quotePrefix="0" xfId="0"/>
    <xf numFmtId="1" fontId="10" fillId="7" borderId="3" pivotButton="0" quotePrefix="0" xfId="0"/>
    <xf numFmtId="166" fontId="10" fillId="7" borderId="3" pivotButton="0" quotePrefix="0" xfId="0"/>
    <xf numFmtId="169" fontId="10" fillId="7" borderId="3" pivotButton="0" quotePrefix="0" xfId="0"/>
    <xf numFmtId="0" fontId="16" fillId="0" borderId="0" pivotButton="0" quotePrefix="0" xfId="0"/>
    <xf numFmtId="1" fontId="6" fillId="2" borderId="1" applyAlignment="1" pivotButton="0" quotePrefix="0" xfId="0">
      <alignment horizontal="right"/>
    </xf>
    <xf numFmtId="170" fontId="5" fillId="3" borderId="2" pivotButton="0" quotePrefix="0" xfId="0"/>
    <xf numFmtId="0" fontId="17" fillId="0" borderId="0" pivotButton="0" quotePrefix="0" xfId="0"/>
    <xf numFmtId="0" fontId="18" fillId="3" borderId="2" pivotButton="0" quotePrefix="0" xfId="0"/>
    <xf numFmtId="165" fontId="5" fillId="3" borderId="2" pivotButton="0" quotePrefix="0" xfId="0"/>
    <xf numFmtId="17" fontId="5" fillId="3" borderId="2" pivotButton="0" quotePrefix="0" xfId="0"/>
    <xf numFmtId="166" fontId="5" fillId="3" borderId="2" applyAlignment="1" pivotButton="0" quotePrefix="0" xfId="0">
      <alignment horizontal="right"/>
    </xf>
    <xf numFmtId="3" fontId="5" fillId="3" borderId="2" applyAlignment="1" pivotButton="0" quotePrefix="0" xfId="0">
      <alignment horizontal="right"/>
    </xf>
    <xf numFmtId="169" fontId="10" fillId="3" borderId="2" applyAlignment="1" pivotButton="0" quotePrefix="0" xfId="0">
      <alignment horizontal="right"/>
    </xf>
    <xf numFmtId="169" fontId="5" fillId="3" borderId="2" applyAlignment="1" pivotButton="0" quotePrefix="0" xfId="0">
      <alignment horizontal="right"/>
    </xf>
    <xf numFmtId="49" fontId="5" fillId="3" borderId="2" applyAlignment="1" pivotButton="0" quotePrefix="0" xfId="0">
      <alignment horizontal="right"/>
    </xf>
    <xf numFmtId="172" fontId="5" fillId="3" borderId="2" applyAlignment="1" pivotButton="0" quotePrefix="0" xfId="0">
      <alignment horizontal="right"/>
    </xf>
    <xf numFmtId="172" fontId="5" fillId="3" borderId="2" pivotButton="0" quotePrefix="0" xfId="0"/>
    <xf numFmtId="166" fontId="5" fillId="3" borderId="2" pivotButton="0" quotePrefix="0" xfId="0"/>
    <xf numFmtId="0" fontId="10" fillId="3" borderId="2" pivotButton="0" quotePrefix="0" xfId="0"/>
    <xf numFmtId="3" fontId="10" fillId="7" borderId="3" pivotButton="0" quotePrefix="0" xfId="0"/>
    <xf numFmtId="168" fontId="5" fillId="3" borderId="2" applyAlignment="1" pivotButton="0" quotePrefix="0" xfId="0">
      <alignment horizontal="right"/>
    </xf>
  </cellXfs>
  <cellStyles count="1">
    <cellStyle name="Normal" xfId="0" builtinId="0" hidden="0"/>
  </cellStyles>
  <dxfs count="3">
    <dxf>
      <font>
        <name val="Calibri"/>
        <b val="1"/>
        <color rgb="00A33A2B"/>
        <sz val="10"/>
      </font>
      <fill>
        <patternFill patternType="solid">
          <fgColor rgb="00F8E7E2"/>
        </patternFill>
      </fill>
    </dxf>
    <dxf>
      <fill>
        <patternFill patternType="solid">
          <fgColor rgb="00FCE9D9"/>
        </patternFill>
      </fill>
    </dxf>
    <dxf>
      <fill>
        <patternFill patternType="solid">
          <fgColor rgb="00F8E7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B1D16"/>
    <outlinePr summaryBelow="1" summaryRight="1"/>
    <pageSetUpPr fitToPage="1"/>
  </sheetPr>
  <dimension ref="B2:C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2" customWidth="1" min="3" max="3"/>
    <col width="3" customWidth="1" min="4" max="4"/>
  </cols>
  <sheetData>
    <row r="2">
      <c r="B2" s="1" t="inlineStr">
        <is>
          <t>Cafetería Aurora</t>
        </is>
      </c>
    </row>
    <row r="3">
      <c r="B3" s="2" t="inlineStr">
        <is>
          <t>Modelo financiero 2026–2028</t>
        </is>
      </c>
    </row>
    <row r="4">
      <c r="B4" s="3" t="inlineStr">
        <is>
          <t>Café de especialidad · Zaragoza · EUR</t>
        </is>
      </c>
    </row>
    <row r="6">
      <c r="B6" s="4" t="inlineStr">
        <is>
          <t>QUÉ ES ESTE LIBRO</t>
        </is>
      </c>
    </row>
    <row r="7">
      <c r="B7" s="5" t="inlineStr">
        <is>
          <t>Un modelo mensual de 36 meses, tres escenarios (Pesimista, Base y Optimista), cuenta de resultados, caja, deuda, impuestos, punto de equilibrio y payback. Todas las celdas blancas son fórmulas: cambia una celda amarilla y el libro se recalcula.</t>
        </is>
      </c>
    </row>
    <row r="8"/>
    <row r="10">
      <c r="B10" s="4" t="inlineStr">
        <is>
          <t>CÓMO USARLO</t>
        </is>
      </c>
    </row>
    <row r="11">
      <c r="B11" s="6" t="inlineStr">
        <is>
          <t>1. Elige el escenario en Resumen B4 (1 Pesimista, 2 Base, 3 Optimista).</t>
        </is>
      </c>
    </row>
    <row r="12">
      <c r="B12" s="6" t="inlineStr">
        <is>
          <t>2. Cambia solo las celdas amarillas de Supuestos, Productos, Personal y Costos.</t>
        </is>
      </c>
    </row>
    <row r="13">
      <c r="B13" s="6" t="inlineStr">
        <is>
          <t>3. No edites celdas blancas: son fórmulas vivas.</t>
        </is>
      </c>
    </row>
    <row r="14">
      <c r="B14" s="6" t="inlineStr">
        <is>
          <t>4. Revisa los checks verdes de Supuestos y de cada hoja de escenario.</t>
        </is>
      </c>
    </row>
    <row r="15">
      <c r="B15" s="6" t="inlineStr">
        <is>
          <t>5. Descarga la versión web y la guía desde el README del repositorio.</t>
        </is>
      </c>
    </row>
    <row r="17">
      <c r="B17" s="4" t="inlineStr">
        <is>
          <t>LEYENDA</t>
        </is>
      </c>
    </row>
    <row r="18">
      <c r="B18" s="7" t="inlineStr">
        <is>
          <t>Entrada editable</t>
        </is>
      </c>
      <c r="C18" s="8" t="inlineStr">
        <is>
          <t>Celda amarilla: puedes cambiarla. Solo en las hojas de entrada y selectores.</t>
        </is>
      </c>
    </row>
    <row r="19">
      <c r="B19" s="9" t="inlineStr">
        <is>
          <t>Fórmula (no editar)</t>
        </is>
      </c>
      <c r="C19" s="8" t="inlineStr">
        <is>
          <t>Celda blanca: se recalcula. Si la sobrescribes, rompes la trazabilidad.</t>
        </is>
      </c>
    </row>
    <row r="20">
      <c r="B20" s="10" t="inlineStr">
        <is>
          <t>OK</t>
        </is>
      </c>
      <c r="C20" s="8" t="inlineStr">
        <is>
          <t>Verde si cuadra; rojo si hay que revisar.</t>
        </is>
      </c>
    </row>
    <row r="22">
      <c r="B22" s="4" t="inlineStr">
        <is>
          <t>FUENTE DE VERDAD</t>
        </is>
      </c>
    </row>
    <row r="23">
      <c r="B23" s="11" t="inlineStr">
        <is>
          <t>data/model.json</t>
        </is>
      </c>
      <c r="C23" s="8" t="inlineStr">
        <is>
          <t>El contrato de supuestos. El libro, el sitio y los tests se generan desde él.</t>
        </is>
      </c>
    </row>
    <row r="25">
      <c r="B25" s="12" t="inlineStr">
        <is>
          <t>Versión</t>
        </is>
      </c>
      <c r="C25" t="inlineStr">
        <is>
          <t>1.0 · 25/10/2026</t>
        </is>
      </c>
    </row>
    <row r="26">
      <c r="B26" s="12" t="inlineStr">
        <is>
          <t>Autor</t>
        </is>
      </c>
      <c r="C26" t="inlineStr">
        <is>
          <t>Cafetería Aurora · modelo educativo</t>
        </is>
      </c>
    </row>
    <row r="27">
      <c r="B27" s="13" t="inlineStr">
        <is>
          <t>Aviso</t>
        </is>
      </c>
      <c r="C27" s="14" t="inlineStr">
        <is>
          <t>Este modelo es educativo. No es asesoramiento financiero, fiscal ni legal.</t>
        </is>
      </c>
    </row>
  </sheetData>
  <mergeCells count="1">
    <mergeCell ref="B7:C8"/>
  </mergeCells>
  <printOptions gridLines="0"/>
  <pageMargins left="0.75" right="0.75" top="1" bottom="1" header="0.5" footer="0.5"/>
  <pageSetup orientation="portrait" paperSize="9" fitToHeight="0" fitToWidth="1"/>
  <headerFooter>
    <oddHeader>&amp;CCafetería Aurora — Modelo 2026–2028</oddHeader>
    <oddFooter>&amp;CPágina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7C8B6F"/>
    <outlinePr summaryBelow="1" summaryRight="1"/>
    <pageSetUpPr fitToPage="1"/>
  </sheetPr>
  <dimension ref="A1:O75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2" customWidth="1" min="15" max="15"/>
  </cols>
  <sheetData>
    <row r="1">
      <c r="A1" s="15" t="inlineStr">
        <is>
          <t>Supuestos</t>
        </is>
      </c>
    </row>
    <row r="2">
      <c r="A2" s="8" t="inlineStr">
        <is>
          <t>Todo lo que se puede cambiar vive aquí. Las celdas amarillas son entradas; los checks, fórmulas.</t>
        </is>
      </c>
    </row>
    <row r="4" ht="20" customHeight="1">
      <c r="A4" s="16" t="inlineStr">
        <is>
          <t>IDENTIDAD Y CALENDARIO</t>
        </is>
      </c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</row>
    <row r="5">
      <c r="A5" s="6" t="inlineStr">
        <is>
          <t>Nombre</t>
        </is>
      </c>
      <c r="B5" s="7" t="inlineStr">
        <is>
          <t>Cafetería Aurora</t>
        </is>
      </c>
    </row>
    <row r="6">
      <c r="A6" s="6" t="inlineStr">
        <is>
          <t>Moneda</t>
        </is>
      </c>
      <c r="B6" s="7" t="inlineStr">
        <is>
          <t>EUR</t>
        </is>
      </c>
    </row>
    <row r="7">
      <c r="A7" s="6" t="inlineStr">
        <is>
          <t>Inicio</t>
        </is>
      </c>
      <c r="B7" s="18" t="n">
        <v>46023</v>
      </c>
    </row>
    <row r="8">
      <c r="A8" s="6" t="inlineStr">
        <is>
          <t>Meses</t>
        </is>
      </c>
      <c r="B8" s="19" t="n">
        <v>36</v>
      </c>
    </row>
    <row r="9">
      <c r="A9" s="6" t="inlineStr">
        <is>
          <t>Año base</t>
        </is>
      </c>
      <c r="B9" s="19" t="n">
        <v>2026</v>
      </c>
    </row>
    <row r="10">
      <c r="A10" s="6" t="inlineStr">
        <is>
          <t>Modelo</t>
        </is>
      </c>
      <c r="B10" s="7" t="inlineStr">
        <is>
          <t>Mensual, 36 meses</t>
        </is>
      </c>
    </row>
    <row r="12" ht="20" customHeight="1">
      <c r="A12" s="16" t="inlineStr">
        <is>
          <t>DEMANDA</t>
        </is>
      </c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</row>
    <row r="13">
      <c r="A13" s="6" t="inlineStr">
        <is>
          <t>Tickets/día en régimen</t>
        </is>
      </c>
      <c r="B13" s="20" t="n">
        <v>360</v>
      </c>
    </row>
    <row r="14">
      <c r="A14" s="6" t="inlineStr">
        <is>
          <t>Ítems por ticket</t>
        </is>
      </c>
      <c r="B14" s="21" t="n">
        <v>1.35</v>
      </c>
    </row>
    <row r="15">
      <c r="A15" s="6" t="inlineStr">
        <is>
          <t>Días operativos al año</t>
        </is>
      </c>
      <c r="B15" s="22">
        <f>SUM(C20:N20)</f>
        <v/>
      </c>
    </row>
    <row r="17" ht="20" customHeight="1">
      <c r="A17" s="16" t="inlineStr">
        <is>
          <t>ESTACIONALIDAD, DÍAS OPERATIVOS Y RAMPA</t>
        </is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</row>
    <row r="18">
      <c r="A18" s="23" t="inlineStr">
        <is>
          <t>Concepto</t>
        </is>
      </c>
      <c r="B18" s="23" t="inlineStr">
        <is>
          <t>Unidad</t>
        </is>
      </c>
      <c r="C18" s="23" t="inlineStr">
        <is>
          <t>ene</t>
        </is>
      </c>
      <c r="D18" s="23" t="inlineStr">
        <is>
          <t>feb</t>
        </is>
      </c>
      <c r="E18" s="23" t="inlineStr">
        <is>
          <t>mar</t>
        </is>
      </c>
      <c r="F18" s="23" t="inlineStr">
        <is>
          <t>abr</t>
        </is>
      </c>
      <c r="G18" s="23" t="inlineStr">
        <is>
          <t>may</t>
        </is>
      </c>
      <c r="H18" s="23" t="inlineStr">
        <is>
          <t>jun</t>
        </is>
      </c>
      <c r="I18" s="23" t="inlineStr">
        <is>
          <t>jul</t>
        </is>
      </c>
      <c r="J18" s="23" t="inlineStr">
        <is>
          <t>ago</t>
        </is>
      </c>
      <c r="K18" s="23" t="inlineStr">
        <is>
          <t>sep</t>
        </is>
      </c>
      <c r="L18" s="23" t="inlineStr">
        <is>
          <t>oct</t>
        </is>
      </c>
      <c r="M18" s="23" t="inlineStr">
        <is>
          <t>nov</t>
        </is>
      </c>
      <c r="N18" s="23" t="inlineStr">
        <is>
          <t>dic</t>
        </is>
      </c>
      <c r="O18" s="23" t="inlineStr">
        <is>
          <t>Total</t>
        </is>
      </c>
    </row>
    <row r="19">
      <c r="A19" s="6" t="inlineStr">
        <is>
          <t>Estacionalidad</t>
        </is>
      </c>
      <c r="B19" s="24" t="inlineStr">
        <is>
          <t>factor</t>
        </is>
      </c>
      <c r="C19" s="25" t="n">
        <v>0.92</v>
      </c>
      <c r="D19" s="25" t="n">
        <v>0.93</v>
      </c>
      <c r="E19" s="25" t="n">
        <v>1.02</v>
      </c>
      <c r="F19" s="25" t="n">
        <v>1.04</v>
      </c>
      <c r="G19" s="25" t="n">
        <v>1.08</v>
      </c>
      <c r="H19" s="25" t="n">
        <v>1.06</v>
      </c>
      <c r="I19" s="25" t="n">
        <v>0.88</v>
      </c>
      <c r="J19" s="25" t="n">
        <v>0.72</v>
      </c>
      <c r="K19" s="25" t="n">
        <v>1.06</v>
      </c>
      <c r="L19" s="25" t="n">
        <v>1.09</v>
      </c>
      <c r="M19" s="25" t="n">
        <v>1.04</v>
      </c>
      <c r="N19" s="25" t="n">
        <v>1.16</v>
      </c>
      <c r="O19" s="26">
        <f>SUM(C19:N19)</f>
        <v/>
      </c>
    </row>
    <row r="20">
      <c r="A20" s="6" t="inlineStr">
        <is>
          <t>Días operativos</t>
        </is>
      </c>
      <c r="B20" s="24" t="inlineStr">
        <is>
          <t>días</t>
        </is>
      </c>
      <c r="C20" s="19" t="n">
        <v>27</v>
      </c>
      <c r="D20" s="19" t="n">
        <v>24</v>
      </c>
      <c r="E20" s="19" t="n">
        <v>27</v>
      </c>
      <c r="F20" s="19" t="n">
        <v>26</v>
      </c>
      <c r="G20" s="19" t="n">
        <v>27</v>
      </c>
      <c r="H20" s="19" t="n">
        <v>26</v>
      </c>
      <c r="I20" s="19" t="n">
        <v>27</v>
      </c>
      <c r="J20" s="19" t="n">
        <v>24</v>
      </c>
      <c r="K20" s="19" t="n">
        <v>26</v>
      </c>
      <c r="L20" s="19" t="n">
        <v>27</v>
      </c>
      <c r="M20" s="19" t="n">
        <v>25</v>
      </c>
      <c r="N20" s="19" t="n">
        <v>26</v>
      </c>
      <c r="O20" s="27">
        <f>SUM(C20:N20)</f>
        <v/>
      </c>
    </row>
    <row r="21">
      <c r="A21" s="6" t="inlineStr">
        <is>
          <t>Rampa año 1</t>
        </is>
      </c>
      <c r="B21" s="24" t="inlineStr">
        <is>
          <t>factor</t>
        </is>
      </c>
      <c r="C21" s="25" t="n">
        <v>0.75</v>
      </c>
      <c r="D21" s="25" t="n">
        <v>0.82</v>
      </c>
      <c r="E21" s="25" t="n">
        <v>0.88</v>
      </c>
      <c r="F21" s="25" t="n">
        <v>0.93</v>
      </c>
      <c r="G21" s="25" t="n">
        <v>0.97</v>
      </c>
      <c r="H21" s="25" t="n">
        <v>1</v>
      </c>
      <c r="I21" s="25" t="n">
        <v>1</v>
      </c>
      <c r="J21" s="25" t="n">
        <v>1</v>
      </c>
      <c r="K21" s="25" t="n">
        <v>1</v>
      </c>
      <c r="L21" s="25" t="n">
        <v>1</v>
      </c>
      <c r="M21" s="25" t="n">
        <v>1</v>
      </c>
      <c r="N21" s="25" t="n">
        <v>1</v>
      </c>
      <c r="O21" s="26">
        <f>SUM(C21:N21)/12</f>
        <v/>
      </c>
    </row>
    <row r="22">
      <c r="A22" s="28" t="inlineStr">
        <is>
          <t>Nota: la estacionalidad suma 12,00 y los días 312. La rampa solo se aplica en 2026.</t>
        </is>
      </c>
    </row>
    <row r="25" ht="20" customHeight="1">
      <c r="A25" s="16" t="inlineStr">
        <is>
          <t>MATRIZ DE ESCENARIOS</t>
        </is>
      </c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</row>
    <row r="26">
      <c r="A26" s="23" t="inlineStr">
        <is>
          <t>#</t>
        </is>
      </c>
      <c r="B26" s="23" t="inlineStr">
        <is>
          <t>Variable</t>
        </is>
      </c>
      <c r="C26" s="23" t="inlineStr">
        <is>
          <t>Unidad</t>
        </is>
      </c>
      <c r="D26" s="23" t="inlineStr">
        <is>
          <t>Pesimista</t>
        </is>
      </c>
      <c r="E26" s="23" t="inlineStr">
        <is>
          <t>Base</t>
        </is>
      </c>
      <c r="F26" s="23" t="inlineStr">
        <is>
          <t>Optimista</t>
        </is>
      </c>
    </row>
    <row r="27">
      <c r="A27" s="29" t="n">
        <v>1</v>
      </c>
      <c r="B27" s="30" t="inlineStr">
        <is>
          <t>Factor de demanda año 1</t>
        </is>
      </c>
      <c r="C27" s="28" t="inlineStr">
        <is>
          <t>×</t>
        </is>
      </c>
      <c r="D27" s="21" t="n">
        <v>0.88</v>
      </c>
      <c r="E27" s="21" t="n">
        <v>1</v>
      </c>
      <c r="F27" s="21" t="n">
        <v>1.08</v>
      </c>
    </row>
    <row r="28">
      <c r="A28" s="29" t="n">
        <v>2</v>
      </c>
      <c r="B28" s="30" t="inlineStr">
        <is>
          <t>Crecimiento anual de demanda</t>
        </is>
      </c>
      <c r="C28" s="28" t="inlineStr">
        <is>
          <t>%</t>
        </is>
      </c>
      <c r="D28" s="31" t="n">
        <v>0.015</v>
      </c>
      <c r="E28" s="31" t="n">
        <v>0.04</v>
      </c>
      <c r="F28" s="31" t="n">
        <v>0.06</v>
      </c>
    </row>
    <row r="29">
      <c r="A29" s="29" t="n">
        <v>3</v>
      </c>
      <c r="B29" s="30" t="inlineStr">
        <is>
          <t>Crecimiento anual de precios</t>
        </is>
      </c>
      <c r="C29" s="28" t="inlineStr">
        <is>
          <t>%</t>
        </is>
      </c>
      <c r="D29" s="31" t="n">
        <v>0.015</v>
      </c>
      <c r="E29" s="31" t="n">
        <v>0.025</v>
      </c>
      <c r="F29" s="31" t="n">
        <v>0.032</v>
      </c>
    </row>
    <row r="30">
      <c r="A30" s="29" t="n">
        <v>4</v>
      </c>
      <c r="B30" s="30" t="inlineStr">
        <is>
          <t>Inflación anual de costes de producto</t>
        </is>
      </c>
      <c r="C30" s="28" t="inlineStr">
        <is>
          <t>%</t>
        </is>
      </c>
      <c r="D30" s="31" t="n">
        <v>0.045</v>
      </c>
      <c r="E30" s="31" t="n">
        <v>0.035</v>
      </c>
      <c r="F30" s="31" t="n">
        <v>0.028</v>
      </c>
    </row>
    <row r="31">
      <c r="A31" s="29" t="n">
        <v>5</v>
      </c>
      <c r="B31" s="30" t="inlineStr">
        <is>
          <t>Factor de personal</t>
        </is>
      </c>
      <c r="C31" s="28" t="inlineStr">
        <is>
          <t>×</t>
        </is>
      </c>
      <c r="D31" s="21" t="n">
        <v>1.03</v>
      </c>
      <c r="E31" s="21" t="n">
        <v>1</v>
      </c>
      <c r="F31" s="21" t="n">
        <v>0.98</v>
      </c>
    </row>
    <row r="32">
      <c r="A32" s="29" t="n">
        <v>6</v>
      </c>
      <c r="B32" s="30" t="inlineStr">
        <is>
          <t>Factor de alquiler</t>
        </is>
      </c>
      <c r="C32" s="28" t="inlineStr">
        <is>
          <t>×</t>
        </is>
      </c>
      <c r="D32" s="21" t="n">
        <v>1.05</v>
      </c>
      <c r="E32" s="21" t="n">
        <v>1</v>
      </c>
      <c r="F32" s="21" t="n">
        <v>0.96</v>
      </c>
    </row>
    <row r="33">
      <c r="A33" s="29" t="n">
        <v>7</v>
      </c>
      <c r="B33" s="30" t="inlineStr">
        <is>
          <t>Inflación de suministros y servicios</t>
        </is>
      </c>
      <c r="C33" s="28" t="inlineStr">
        <is>
          <t>%</t>
        </is>
      </c>
      <c r="D33" s="31" t="n">
        <v>0.06</v>
      </c>
      <c r="E33" s="31" t="n">
        <v>0.04</v>
      </c>
      <c r="F33" s="31" t="n">
        <v>0.03</v>
      </c>
    </row>
    <row r="34">
      <c r="A34" s="29" t="n">
        <v>8</v>
      </c>
      <c r="B34" s="30" t="inlineStr">
        <is>
          <t>Marketing variable</t>
        </is>
      </c>
      <c r="C34" s="28" t="inlineStr">
        <is>
          <t>% ingresos</t>
        </is>
      </c>
      <c r="D34" s="31" t="n">
        <v>0.02</v>
      </c>
      <c r="E34" s="31" t="n">
        <v>0.03</v>
      </c>
      <c r="F34" s="31" t="n">
        <v>0.04</v>
      </c>
    </row>
    <row r="35">
      <c r="A35" s="29" t="n">
        <v>9</v>
      </c>
      <c r="B35" s="30" t="inlineStr">
        <is>
          <t>Factor de otros gastos</t>
        </is>
      </c>
      <c r="C35" s="28" t="inlineStr">
        <is>
          <t>×</t>
        </is>
      </c>
      <c r="D35" s="21" t="n">
        <v>1.08</v>
      </c>
      <c r="E35" s="21" t="n">
        <v>1</v>
      </c>
      <c r="F35" s="21" t="n">
        <v>0.95</v>
      </c>
    </row>
    <row r="36">
      <c r="A36" s="29" t="n">
        <v>10</v>
      </c>
      <c r="B36" s="30" t="inlineStr">
        <is>
          <t>Crecimiento de otros gastos</t>
        </is>
      </c>
      <c r="C36" s="28" t="inlineStr">
        <is>
          <t>%</t>
        </is>
      </c>
      <c r="D36" s="31" t="n">
        <v>0.03</v>
      </c>
      <c r="E36" s="31" t="n">
        <v>0.025</v>
      </c>
      <c r="F36" s="31" t="n">
        <v>0.02</v>
      </c>
    </row>
    <row r="37">
      <c r="A37" s="28" t="inlineStr">
        <is>
          <t>Excepción intencional: marketing variable es más bajo en Pesimista (2 %) porque es una respuesta de gestión, no un coste externo.</t>
        </is>
      </c>
    </row>
    <row r="40" ht="20" customHeight="1">
      <c r="A40" s="16" t="inlineStr">
        <is>
          <t>FINANCIACIÓN Y CAJA INICIAL</t>
        </is>
      </c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</row>
    <row r="41">
      <c r="A41" s="6" t="inlineStr">
        <is>
          <t>Equity aportado</t>
        </is>
      </c>
      <c r="B41" s="32" t="n">
        <v>90000</v>
      </c>
    </row>
    <row r="42">
      <c r="A42" s="6" t="inlineStr">
        <is>
          <t>Préstamo</t>
        </is>
      </c>
      <c r="B42" s="32" t="n">
        <v>70000</v>
      </c>
    </row>
    <row r="43">
      <c r="A43" s="6" t="inlineStr">
        <is>
          <t>Tipo nominal anual</t>
        </is>
      </c>
      <c r="B43" s="31" t="n">
        <v>0.075</v>
      </c>
    </row>
    <row r="44">
      <c r="A44" s="6" t="inlineStr">
        <is>
          <t>Plazo</t>
        </is>
      </c>
      <c r="B44" s="19" t="n">
        <v>60</v>
      </c>
    </row>
    <row r="45">
      <c r="A45" s="6" t="inlineStr">
        <is>
          <t>Caja de apertura</t>
        </is>
      </c>
      <c r="B45" s="32" t="n">
        <v>21500</v>
      </c>
    </row>
    <row r="46">
      <c r="A46" s="6" t="inlineStr">
        <is>
          <t>Stock inicial (capital circulante t0)</t>
        </is>
      </c>
      <c r="B46" s="32" t="n">
        <v>6500</v>
      </c>
    </row>
    <row r="47">
      <c r="A47" s="6" t="inlineStr">
        <is>
          <t>Caja mínima de política</t>
        </is>
      </c>
      <c r="B47" s="32" t="n">
        <v>10000</v>
      </c>
    </row>
    <row r="48">
      <c r="A48" s="6" t="inlineStr">
        <is>
          <t>Cuota mensual del préstamo</t>
        </is>
      </c>
      <c r="B48" s="33">
        <f>PMT(B43/12,B44,-B42)</f>
        <v/>
      </c>
    </row>
    <row r="49">
      <c r="A49" s="28" t="inlineStr">
        <is>
          <t>La caja de apertura y el stock son usos financiados con equity y deuda; no son ingresos.</t>
        </is>
      </c>
    </row>
    <row r="52" ht="20" customHeight="1">
      <c r="A52" s="16" t="inlineStr">
        <is>
          <t>FISCALIDAD Y CAPITAL CIRCULANTE</t>
        </is>
      </c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</row>
    <row r="53">
      <c r="A53" s="6" t="inlineStr">
        <is>
          <t>Tipo de sociedades</t>
        </is>
      </c>
      <c r="B53" s="31" t="n">
        <v>0.25</v>
      </c>
    </row>
    <row r="54">
      <c r="A54" s="6" t="inlineStr">
        <is>
          <t>Días de inventario</t>
        </is>
      </c>
      <c r="B54" s="19" t="n">
        <v>18</v>
      </c>
    </row>
    <row r="55">
      <c r="A55" s="6" t="inlineStr">
        <is>
          <t>Días de proveedor</t>
        </is>
      </c>
      <c r="B55" s="19" t="n">
        <v>30</v>
      </c>
    </row>
    <row r="56">
      <c r="A56" s="6" t="inlineStr">
        <is>
          <t>Días de cobro</t>
        </is>
      </c>
      <c r="B56" s="19" t="n">
        <v>0</v>
      </c>
    </row>
    <row r="57">
      <c r="A57" s="28" t="inlineStr">
        <is>
          <t>Pérdidas compensables sin límite por ser pyme (&lt;1 M€). Provisión mensual = cuota anual / 12.</t>
        </is>
      </c>
    </row>
    <row r="60" ht="20" customHeight="1">
      <c r="A60" s="16" t="inlineStr">
        <is>
          <t>CRECIMIENTOS ESTRUCTURALES</t>
        </is>
      </c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</row>
    <row r="61">
      <c r="A61" s="6" t="inlineStr">
        <is>
          <t>Crecimiento anual del alquiler</t>
        </is>
      </c>
      <c r="B61" s="31" t="n">
        <v>0.02</v>
      </c>
    </row>
    <row r="62">
      <c r="A62" s="6" t="inlineStr">
        <is>
          <t>Crecimiento anual del marketing fijo</t>
        </is>
      </c>
      <c r="B62" s="31" t="n">
        <v>0.025</v>
      </c>
    </row>
    <row r="63">
      <c r="A63" s="28" t="inlineStr">
        <is>
          <t>La inflación de precios, costes y servicios vive en la matriz de escenarios; aquí solo los crecimientos estructurales.</t>
        </is>
      </c>
    </row>
    <row r="65" ht="20" customHeight="1">
      <c r="A65" s="16" t="inlineStr">
        <is>
          <t>CONTROLES DE INTEGRIDAD</t>
        </is>
      </c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</row>
    <row r="66">
      <c r="A66" s="23" t="inlineStr">
        <is>
          <t>Check</t>
        </is>
      </c>
      <c r="B66" s="23" t="inlineStr">
        <is>
          <t>Valor</t>
        </is>
      </c>
      <c r="C66" s="23" t="inlineStr">
        <is>
          <t>Estado</t>
        </is>
      </c>
    </row>
    <row r="67">
      <c r="A67" s="30" t="inlineStr">
        <is>
          <t>Mix de producto (debe ser 100 %)</t>
        </is>
      </c>
      <c r="B67" s="34">
        <f>SUM(Productos!H5:H12)</f>
        <v/>
      </c>
      <c r="C67" s="10">
        <f>IF(ABS(B67-1)&lt;0.0001,"OK","Revisar")</f>
        <v/>
      </c>
    </row>
    <row r="68">
      <c r="A68" s="30" t="inlineStr">
        <is>
          <t>Estacionalidad (debe ser 12,00)</t>
        </is>
      </c>
      <c r="B68" s="35">
        <f>SUM(C19:N19)</f>
        <v/>
      </c>
      <c r="C68" s="10">
        <f>IF(ABS(B68-12)&lt;0.0001,"OK","Revisar")</f>
        <v/>
      </c>
    </row>
    <row r="69">
      <c r="A69" s="30" t="inlineStr">
        <is>
          <t>Días operativos (deben ser 312)</t>
        </is>
      </c>
      <c r="B69" s="27">
        <f>SUM(C20:N20)</f>
        <v/>
      </c>
      <c r="C69" s="10">
        <f>IF(B69=312,"OK","Revisar")</f>
        <v/>
      </c>
    </row>
    <row r="70">
      <c r="A70" s="30" t="inlineStr">
        <is>
          <t>Capex inicial (debe ser 132.000 €)</t>
        </is>
      </c>
      <c r="B70" s="36">
        <f>Costos!B21</f>
        <v/>
      </c>
      <c r="C70" s="10">
        <f>IF(B70=132000,"OK","Revisar")</f>
        <v/>
      </c>
    </row>
    <row r="71">
      <c r="A71" s="30" t="inlineStr">
        <is>
          <t>Fuentes = usos</t>
        </is>
      </c>
      <c r="B71" s="36">
        <f>B41+B42</f>
        <v/>
      </c>
      <c r="C71" s="10">
        <f>IF(B71=Costos!B30,"OK","Revisar")</f>
        <v/>
      </c>
    </row>
    <row r="72">
      <c r="A72" s="30" t="inlineStr">
        <is>
          <t>Orden de escenarios (demanda y precio)</t>
        </is>
      </c>
      <c r="B72" s="37">
        <f>IF(AND(D27&lt;E27,E27&lt;F27,D28&lt;E28,E28&lt;F28,D29&lt;E29,E29&lt;F29),"OK","Revisar orden")</f>
        <v/>
      </c>
    </row>
    <row r="73">
      <c r="A73" s="30" t="inlineStr">
        <is>
          <t>Orden de costes (inverso)</t>
        </is>
      </c>
      <c r="B73" s="37">
        <f>IF(AND(D30&gt;E30,E30&gt;F30,D31&gt;E31,E31&gt;F31,D32&gt;E32,E32&gt;F32,D34&gt;E34,E34&gt;F34,D35&gt;E35,E35&gt;F35,D36&gt;E36,E36&gt;F36),"OK","Revisar orden")</f>
        <v/>
      </c>
    </row>
    <row r="75">
      <c r="A75" s="38" t="inlineStr">
        <is>
          <t>Si algún check dice «Revisar», no uses las cifras: corrige la entrada.</t>
        </is>
      </c>
    </row>
  </sheetData>
  <mergeCells count="8">
    <mergeCell ref="A12:O12"/>
    <mergeCell ref="A25:O25"/>
    <mergeCell ref="A65:O65"/>
    <mergeCell ref="A52:O52"/>
    <mergeCell ref="A60:O60"/>
    <mergeCell ref="A17:O17"/>
    <mergeCell ref="A40:O40"/>
    <mergeCell ref="A4:O4"/>
  </mergeCells>
  <printOptions gridLines="0"/>
  <pageMargins left="0.75" right="0.75" top="1" bottom="1" header="0.5" footer="0.5"/>
  <pageSetup orientation="portrait" paperSize="9" fitToHeight="0" fitToWidth="1"/>
  <headerFooter>
    <oddHeader>&amp;CCafetería Aurora — Modelo 2026–2028</oddHeader>
    <oddFooter>&amp;CPágina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7C8B6F"/>
    <outlinePr summaryBelow="1" summaryRight="1"/>
    <pageSetUpPr fitToPage="1"/>
  </sheetPr>
  <dimension ref="A1:N15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10" customWidth="1" min="4" max="4"/>
    <col width="8" customWidth="1" min="5" max="5"/>
    <col width="12" customWidth="1" min="6" max="6"/>
    <col width="12" customWidth="1" min="7" max="7"/>
    <col width="8" customWidth="1" min="8" max="8"/>
    <col width="8" customWidth="1" min="9" max="9"/>
    <col width="13" customWidth="1" min="10" max="10"/>
    <col width="13" customWidth="1" min="11" max="11"/>
    <col width="11" customWidth="1" min="12" max="12"/>
    <col width="13" customWidth="1" min="13" max="13"/>
    <col width="10" customWidth="1" min="14" max="14"/>
  </cols>
  <sheetData>
    <row r="1">
      <c r="A1" s="15" t="inlineStr">
        <is>
          <t>Productos</t>
        </is>
      </c>
    </row>
    <row r="2">
      <c r="A2" s="8" t="inlineStr">
        <is>
          <t>PVP con IVA en la carta; precio neto y coste ajustado por merma en el modelo.</t>
        </is>
      </c>
    </row>
    <row r="4">
      <c r="A4" s="23" t="inlineStr">
        <is>
          <t>#</t>
        </is>
      </c>
      <c r="B4" s="23" t="inlineStr">
        <is>
          <t>Producto</t>
        </is>
      </c>
      <c r="C4" s="23" t="inlineStr">
        <is>
          <t>Categoría</t>
        </is>
      </c>
      <c r="D4" s="23" t="inlineStr">
        <is>
          <t>PVP</t>
        </is>
      </c>
      <c r="E4" s="23" t="inlineStr">
        <is>
          <t>IVA</t>
        </is>
      </c>
      <c r="F4" s="23" t="inlineStr">
        <is>
          <t>Precio neto</t>
        </is>
      </c>
      <c r="G4" s="23" t="inlineStr">
        <is>
          <t>Coste unitario</t>
        </is>
      </c>
      <c r="H4" s="23" t="inlineStr">
        <is>
          <t>Mix</t>
        </is>
      </c>
      <c r="I4" s="23" t="inlineStr">
        <is>
          <t>Merma</t>
        </is>
      </c>
      <c r="J4" s="23" t="inlineStr">
        <is>
          <t>Coste ajustado</t>
        </is>
      </c>
      <c r="K4" s="23" t="inlineStr">
        <is>
          <t>Margen unitario</t>
        </is>
      </c>
      <c r="L4" s="23" t="inlineStr">
        <is>
          <t>Margen %</t>
        </is>
      </c>
      <c r="M4" s="23" t="inlineStr">
        <is>
          <t>Contribución</t>
        </is>
      </c>
      <c r="N4" s="23" t="inlineStr">
        <is>
          <t>Check PVP</t>
        </is>
      </c>
    </row>
    <row r="5">
      <c r="A5" s="8" t="n">
        <v>1</v>
      </c>
      <c r="B5" t="inlineStr">
        <is>
          <t>Espresso</t>
        </is>
      </c>
      <c r="C5" t="inlineStr">
        <is>
          <t>Café</t>
        </is>
      </c>
      <c r="D5" s="39" t="n">
        <v>1.7</v>
      </c>
      <c r="E5" s="40" t="n">
        <v>0.1</v>
      </c>
      <c r="F5" s="41">
        <f>D5/(1+E5)</f>
        <v/>
      </c>
      <c r="G5" s="39" t="n">
        <v>0.42</v>
      </c>
      <c r="H5" s="31" t="n">
        <v>0.22</v>
      </c>
      <c r="I5" s="31" t="n">
        <v>0.04</v>
      </c>
      <c r="J5" s="41">
        <f>G5/(1-I5)</f>
        <v/>
      </c>
      <c r="K5" s="41">
        <f>F5-J5</f>
        <v/>
      </c>
      <c r="L5" s="34">
        <f>IFERROR(K5/F5,0)</f>
        <v/>
      </c>
      <c r="M5" s="41">
        <f>F5*H5</f>
        <v/>
      </c>
      <c r="N5" s="42">
        <f>IF(F5&gt;J5,1,0)</f>
        <v/>
      </c>
    </row>
    <row r="6">
      <c r="A6" s="8" t="n">
        <v>2</v>
      </c>
      <c r="B6" t="inlineStr">
        <is>
          <t>Flat white</t>
        </is>
      </c>
      <c r="C6" t="inlineStr">
        <is>
          <t>Café con leche</t>
        </is>
      </c>
      <c r="D6" s="39" t="n">
        <v>2.8</v>
      </c>
      <c r="E6" s="40" t="n">
        <v>0.1</v>
      </c>
      <c r="F6" s="41">
        <f>D6/(1+E6)</f>
        <v/>
      </c>
      <c r="G6" s="39" t="n">
        <v>0.72</v>
      </c>
      <c r="H6" s="31" t="n">
        <v>0.2</v>
      </c>
      <c r="I6" s="31" t="n">
        <v>0.04</v>
      </c>
      <c r="J6" s="41">
        <f>G6/(1-I6)</f>
        <v/>
      </c>
      <c r="K6" s="41">
        <f>F6-J6</f>
        <v/>
      </c>
      <c r="L6" s="34">
        <f>IFERROR(K6/F6,0)</f>
        <v/>
      </c>
      <c r="M6" s="41">
        <f>F6*H6</f>
        <v/>
      </c>
      <c r="N6" s="42">
        <f>IF(F6&gt;J6,1,0)</f>
        <v/>
      </c>
    </row>
    <row r="7">
      <c r="A7" s="8" t="n">
        <v>3</v>
      </c>
      <c r="B7" t="inlineStr">
        <is>
          <t>Cappuccino</t>
        </is>
      </c>
      <c r="C7" t="inlineStr">
        <is>
          <t>Café con leche</t>
        </is>
      </c>
      <c r="D7" s="39" t="n">
        <v>2.6</v>
      </c>
      <c r="E7" s="40" t="n">
        <v>0.1</v>
      </c>
      <c r="F7" s="41">
        <f>D7/(1+E7)</f>
        <v/>
      </c>
      <c r="G7" s="39" t="n">
        <v>0.66</v>
      </c>
      <c r="H7" s="31" t="n">
        <v>0.1</v>
      </c>
      <c r="I7" s="31" t="n">
        <v>0.04</v>
      </c>
      <c r="J7" s="41">
        <f>G7/(1-I7)</f>
        <v/>
      </c>
      <c r="K7" s="41">
        <f>F7-J7</f>
        <v/>
      </c>
      <c r="L7" s="34">
        <f>IFERROR(K7/F7,0)</f>
        <v/>
      </c>
      <c r="M7" s="41">
        <f>F7*H7</f>
        <v/>
      </c>
      <c r="N7" s="42">
        <f>IF(F7&gt;J7,1,0)</f>
        <v/>
      </c>
    </row>
    <row r="8">
      <c r="A8" s="8" t="n">
        <v>4</v>
      </c>
      <c r="B8" t="inlineStr">
        <is>
          <t>Latte</t>
        </is>
      </c>
      <c r="C8" t="inlineStr">
        <is>
          <t>Café con leche</t>
        </is>
      </c>
      <c r="D8" s="39" t="n">
        <v>2.9</v>
      </c>
      <c r="E8" s="40" t="n">
        <v>0.1</v>
      </c>
      <c r="F8" s="41">
        <f>D8/(1+E8)</f>
        <v/>
      </c>
      <c r="G8" s="39" t="n">
        <v>0.74</v>
      </c>
      <c r="H8" s="31" t="n">
        <v>0.13</v>
      </c>
      <c r="I8" s="31" t="n">
        <v>0.04</v>
      </c>
      <c r="J8" s="41">
        <f>G8/(1-I8)</f>
        <v/>
      </c>
      <c r="K8" s="41">
        <f>F8-J8</f>
        <v/>
      </c>
      <c r="L8" s="34">
        <f>IFERROR(K8/F8,0)</f>
        <v/>
      </c>
      <c r="M8" s="41">
        <f>F8*H8</f>
        <v/>
      </c>
      <c r="N8" s="42">
        <f>IF(F8&gt;J8,1,0)</f>
        <v/>
      </c>
    </row>
    <row r="9">
      <c r="A9" s="8" t="n">
        <v>5</v>
      </c>
      <c r="B9" t="inlineStr">
        <is>
          <t>Cold brew</t>
        </is>
      </c>
      <c r="C9" t="inlineStr">
        <is>
          <t>Café frío</t>
        </is>
      </c>
      <c r="D9" s="39" t="n">
        <v>3.4</v>
      </c>
      <c r="E9" s="40" t="n">
        <v>0.1</v>
      </c>
      <c r="F9" s="41">
        <f>D9/(1+E9)</f>
        <v/>
      </c>
      <c r="G9" s="39" t="n">
        <v>0.95</v>
      </c>
      <c r="H9" s="31" t="n">
        <v>0.08</v>
      </c>
      <c r="I9" s="31" t="n">
        <v>0.05</v>
      </c>
      <c r="J9" s="41">
        <f>G9/(1-I9)</f>
        <v/>
      </c>
      <c r="K9" s="41">
        <f>F9-J9</f>
        <v/>
      </c>
      <c r="L9" s="34">
        <f>IFERROR(K9/F9,0)</f>
        <v/>
      </c>
      <c r="M9" s="41">
        <f>F9*H9</f>
        <v/>
      </c>
      <c r="N9" s="42">
        <f>IF(F9&gt;J9,1,0)</f>
        <v/>
      </c>
    </row>
    <row r="10">
      <c r="A10" s="8" t="n">
        <v>6</v>
      </c>
      <c r="B10" t="inlineStr">
        <is>
          <t>Croissant</t>
        </is>
      </c>
      <c r="C10" t="inlineStr">
        <is>
          <t>Panadería</t>
        </is>
      </c>
      <c r="D10" s="39" t="n">
        <v>2.3</v>
      </c>
      <c r="E10" s="40" t="n">
        <v>0.1</v>
      </c>
      <c r="F10" s="41">
        <f>D10/(1+E10)</f>
        <v/>
      </c>
      <c r="G10" s="39" t="n">
        <v>0.82</v>
      </c>
      <c r="H10" s="31" t="n">
        <v>0.14</v>
      </c>
      <c r="I10" s="31" t="n">
        <v>0.08</v>
      </c>
      <c r="J10" s="41">
        <f>G10/(1-I10)</f>
        <v/>
      </c>
      <c r="K10" s="41">
        <f>F10-J10</f>
        <v/>
      </c>
      <c r="L10" s="34">
        <f>IFERROR(K10/F10,0)</f>
        <v/>
      </c>
      <c r="M10" s="41">
        <f>F10*H10</f>
        <v/>
      </c>
      <c r="N10" s="42">
        <f>IF(F10&gt;J10,1,0)</f>
        <v/>
      </c>
    </row>
    <row r="11">
      <c r="A11" s="8" t="n">
        <v>7</v>
      </c>
      <c r="B11" t="inlineStr">
        <is>
          <t>Tostada</t>
        </is>
      </c>
      <c r="C11" t="inlineStr">
        <is>
          <t>Salado</t>
        </is>
      </c>
      <c r="D11" s="39" t="n">
        <v>3.9</v>
      </c>
      <c r="E11" s="40" t="n">
        <v>0.1</v>
      </c>
      <c r="F11" s="41">
        <f>D11/(1+E11)</f>
        <v/>
      </c>
      <c r="G11" s="39" t="n">
        <v>1.18</v>
      </c>
      <c r="H11" s="31" t="n">
        <v>0.09</v>
      </c>
      <c r="I11" s="31" t="n">
        <v>0.06</v>
      </c>
      <c r="J11" s="41">
        <f>G11/(1-I11)</f>
        <v/>
      </c>
      <c r="K11" s="41">
        <f>F11-J11</f>
        <v/>
      </c>
      <c r="L11" s="34">
        <f>IFERROR(K11/F11,0)</f>
        <v/>
      </c>
      <c r="M11" s="41">
        <f>F11*H11</f>
        <v/>
      </c>
      <c r="N11" s="42">
        <f>IF(F11&gt;J11,1,0)</f>
        <v/>
      </c>
    </row>
    <row r="12">
      <c r="A12" s="8" t="n">
        <v>8</v>
      </c>
      <c r="B12" t="inlineStr">
        <is>
          <t>Bolsa café 250 g</t>
        </is>
      </c>
      <c r="C12" t="inlineStr">
        <is>
          <t>Retail</t>
        </is>
      </c>
      <c r="D12" s="39" t="n">
        <v>10.5</v>
      </c>
      <c r="E12" s="40" t="n">
        <v>0.1</v>
      </c>
      <c r="F12" s="41">
        <f>D12/(1+E12)</f>
        <v/>
      </c>
      <c r="G12" s="39" t="n">
        <v>4.6</v>
      </c>
      <c r="H12" s="31" t="n">
        <v>0.04</v>
      </c>
      <c r="I12" s="31" t="n">
        <v>0.02</v>
      </c>
      <c r="J12" s="41">
        <f>G12/(1-I12)</f>
        <v/>
      </c>
      <c r="K12" s="41">
        <f>F12-J12</f>
        <v/>
      </c>
      <c r="L12" s="34">
        <f>IFERROR(K12/F12,0)</f>
        <v/>
      </c>
      <c r="M12" s="41">
        <f>F12*H12</f>
        <v/>
      </c>
      <c r="N12" s="42">
        <f>IF(F12&gt;J12,1,0)</f>
        <v/>
      </c>
    </row>
    <row r="13">
      <c r="B13" s="12" t="inlineStr">
        <is>
          <t>Total / ponderado</t>
        </is>
      </c>
      <c r="D13" s="43">
        <f>SUMPRODUCT(D5:D12,H5:H12)</f>
        <v/>
      </c>
      <c r="E13" s="44">
        <f>""</f>
        <v/>
      </c>
      <c r="F13" s="45">
        <f>SUMPRODUCT(F5:F12,H5:H12)</f>
        <v/>
      </c>
      <c r="G13" s="44">
        <f>""</f>
        <v/>
      </c>
      <c r="H13" s="46">
        <f>SUM(H5:H12)</f>
        <v/>
      </c>
      <c r="I13" s="44">
        <f>""</f>
        <v/>
      </c>
      <c r="J13" s="45">
        <f>SUMPRODUCT(J5:J12,H5:H12)</f>
        <v/>
      </c>
      <c r="K13" s="45">
        <f>F13-J13</f>
        <v/>
      </c>
      <c r="L13" s="46">
        <f>IFERROR(K13/F13,0)</f>
        <v/>
      </c>
      <c r="M13" s="45">
        <f>SUM(M5:M12)</f>
        <v/>
      </c>
      <c r="N13" s="47">
        <f>SUM(N5:N12)</f>
        <v/>
      </c>
    </row>
    <row r="14">
      <c r="A14" t="inlineStr">
        <is>
          <t>Check</t>
        </is>
      </c>
      <c r="B14" t="inlineStr">
        <is>
          <t>Mix 100 %</t>
        </is>
      </c>
      <c r="C14" s="10">
        <f>IF(ABS(H13-1)&lt;0.0001,"OK","Revisar")</f>
        <v/>
      </c>
      <c r="D14" t="inlineStr">
        <is>
          <t>PVP &gt; coste</t>
        </is>
      </c>
      <c r="E14" s="10">
        <f>IF(N13=8,"OK","Revisar")</f>
        <v/>
      </c>
    </row>
    <row r="15">
      <c r="A15" s="28" t="inlineStr">
        <is>
          <t>La merma se aplica al coste, nunca al precio. El mix se mantiene constante en los tres años.</t>
        </is>
      </c>
    </row>
  </sheetData>
  <printOptions gridLines="0"/>
  <pageMargins left="0.75" right="0.75" top="1" bottom="1" header="0.5" footer="0.5"/>
  <pageSetup orientation="landscape" paperSize="9" fitToHeight="0" fitToWidth="1"/>
  <headerFooter>
    <oddHeader>&amp;CCafetería Aurora — Modelo 2026–2028</oddHeader>
    <oddFooter>&amp;CPágina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C8B6F"/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12" customWidth="1" min="4" max="4"/>
    <col width="12" customWidth="1" min="5" max="5"/>
    <col width="15" customWidth="1" min="6" max="6"/>
    <col width="15" customWidth="1" min="7" max="7"/>
    <col width="15" customWidth="1" min="8" max="8"/>
  </cols>
  <sheetData>
    <row r="1">
      <c r="A1" s="15" t="inlineStr">
        <is>
          <t>Personal</t>
        </is>
      </c>
    </row>
    <row r="2">
      <c r="A2" s="8" t="inlineStr">
        <is>
          <t>Coste empresa = salario bruto × FTE × (1 + cotización) × (1 + crecimiento)^(año−1).</t>
        </is>
      </c>
    </row>
    <row r="4">
      <c r="A4" s="23" t="inlineStr">
        <is>
          <t>Rol</t>
        </is>
      </c>
      <c r="B4" s="23" t="inlineStr">
        <is>
          <t>Salario bruto anual</t>
        </is>
      </c>
      <c r="C4" s="23" t="inlineStr">
        <is>
          <t>FTE 2026</t>
        </is>
      </c>
      <c r="D4" s="23" t="inlineStr">
        <is>
          <t>FTE 2027</t>
        </is>
      </c>
      <c r="E4" s="23" t="inlineStr">
        <is>
          <t>FTE 2028</t>
        </is>
      </c>
      <c r="F4" s="23" t="inlineStr">
        <is>
          <t>Coste 2026</t>
        </is>
      </c>
      <c r="G4" s="23" t="inlineStr">
        <is>
          <t>Coste 2027</t>
        </is>
      </c>
      <c r="H4" s="23" t="inlineStr">
        <is>
          <t>Coste 2028</t>
        </is>
      </c>
    </row>
    <row r="5">
      <c r="A5" t="inlineStr">
        <is>
          <t>Gerente</t>
        </is>
      </c>
      <c r="B5" s="32" t="n">
        <v>30000</v>
      </c>
      <c r="C5" s="20" t="n">
        <v>1</v>
      </c>
      <c r="D5" s="20" t="n">
        <v>1</v>
      </c>
      <c r="E5" s="20" t="n">
        <v>1</v>
      </c>
      <c r="F5" s="36">
        <f>B5*C5*(1+$B$11)</f>
        <v/>
      </c>
      <c r="G5" s="36">
        <f>B5*(1+$B$12)*D5*(1+$B$11)</f>
        <v/>
      </c>
      <c r="H5" s="36">
        <f>B5*(1+$B$12)^2*E5*(1+$B$11)</f>
        <v/>
      </c>
    </row>
    <row r="6">
      <c r="A6" t="inlineStr">
        <is>
          <t>Barista</t>
        </is>
      </c>
      <c r="B6" s="32" t="n">
        <v>23000</v>
      </c>
      <c r="C6" s="20" t="n">
        <v>1</v>
      </c>
      <c r="D6" s="20" t="n">
        <v>1.5</v>
      </c>
      <c r="E6" s="20" t="n">
        <v>1.5</v>
      </c>
      <c r="F6" s="36">
        <f>B6*C6*(1+$B$11)</f>
        <v/>
      </c>
      <c r="G6" s="36">
        <f>B6*(1+$B$12)*D6*(1+$B$11)</f>
        <v/>
      </c>
      <c r="H6" s="36">
        <f>B6*(1+$B$12)^2*E6*(1+$B$11)</f>
        <v/>
      </c>
    </row>
    <row r="7">
      <c r="A7" t="inlineStr">
        <is>
          <t>Ayudante de cocina</t>
        </is>
      </c>
      <c r="B7" s="32" t="n">
        <v>21000</v>
      </c>
      <c r="C7" s="20" t="n">
        <v>1</v>
      </c>
      <c r="D7" s="20" t="n">
        <v>1</v>
      </c>
      <c r="E7" s="20" t="n">
        <v>1</v>
      </c>
      <c r="F7" s="36">
        <f>B7*C7*(1+$B$11)</f>
        <v/>
      </c>
      <c r="G7" s="36">
        <f>B7*(1+$B$12)*D7*(1+$B$11)</f>
        <v/>
      </c>
      <c r="H7" s="36">
        <f>B7*(1+$B$12)^2*E7*(1+$B$11)</f>
        <v/>
      </c>
    </row>
    <row r="8">
      <c r="A8" t="inlineStr">
        <is>
          <t>Fin de semana</t>
        </is>
      </c>
      <c r="B8" s="32" t="n">
        <v>20000</v>
      </c>
      <c r="C8" s="20" t="n">
        <v>0.5</v>
      </c>
      <c r="D8" s="20" t="n">
        <v>0.5</v>
      </c>
      <c r="E8" s="20" t="n">
        <v>0.5</v>
      </c>
      <c r="F8" s="36">
        <f>B8*C8*(1+$B$11)</f>
        <v/>
      </c>
      <c r="G8" s="36">
        <f>B8*(1+$B$12)*D8*(1+$B$11)</f>
        <v/>
      </c>
      <c r="H8" s="36">
        <f>B8*(1+$B$12)^2*E8*(1+$B$11)</f>
        <v/>
      </c>
    </row>
    <row r="9">
      <c r="A9" s="44" t="inlineStr">
        <is>
          <t>Total</t>
        </is>
      </c>
      <c r="C9" s="48">
        <f>SUM(C5:C8)</f>
        <v/>
      </c>
      <c r="D9" s="48">
        <f>SUM(D5:D8)</f>
        <v/>
      </c>
      <c r="E9" s="48">
        <f>SUM(E5:E8)</f>
        <v/>
      </c>
      <c r="F9" s="49">
        <f>SUM(F5:F8)</f>
        <v/>
      </c>
      <c r="G9" s="49">
        <f>SUM(G5:G8)</f>
        <v/>
      </c>
      <c r="H9" s="49">
        <f>SUM(H5:H8)</f>
        <v/>
      </c>
    </row>
    <row r="11">
      <c r="A11" t="inlineStr">
        <is>
          <t>Cotización empresarial</t>
        </is>
      </c>
      <c r="B11" s="31" t="n">
        <v>0.315</v>
      </c>
    </row>
    <row r="12">
      <c r="A12" t="inlineStr">
        <is>
          <t>Crecimiento salarial</t>
        </is>
      </c>
      <c r="B12" s="31" t="n">
        <v>0.03</v>
      </c>
    </row>
    <row r="13">
      <c r="A13" s="28" t="inlineStr">
        <is>
          <t>El barista pasa de 1,0 a 1,5 FTE en 2027. No se modelan horas extras, bajas ni bonificaciones.</t>
        </is>
      </c>
    </row>
  </sheetData>
  <printOptions gridLines="0"/>
  <pageMargins left="0.75" right="0.75" top="1" bottom="1" header="0.5" footer="0.5"/>
  <pageSetup orientation="portrait" paperSize="9" fitToHeight="0" fitToWidth="1"/>
  <headerFooter>
    <oddHeader>&amp;CCafetería Aurora — Modelo 2026–2028</oddHeader>
    <oddFooter>&amp;CPágina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7C8B6F"/>
    <outlinePr summaryBelow="1" summaryRight="1"/>
    <pageSetUpPr fitToPage="1"/>
  </sheetPr>
  <dimension ref="A1:E34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34" customWidth="1" min="4" max="4"/>
    <col width="20" customWidth="1" min="5" max="5"/>
  </cols>
  <sheetData>
    <row r="1">
      <c r="A1" s="15" t="inlineStr">
        <is>
          <t>Costos</t>
        </is>
      </c>
    </row>
    <row r="2">
      <c r="A2" s="8" t="inlineStr">
        <is>
          <t>Costes fijos, capex, mantenimiento y cuadre de fuentes y usos.</t>
        </is>
      </c>
    </row>
    <row r="4" ht="20" customHeight="1">
      <c r="A4" s="16" t="inlineStr">
        <is>
          <t>COSTES FIJOS</t>
        </is>
      </c>
      <c r="B4" s="17" t="n"/>
      <c r="C4" s="17" t="n"/>
      <c r="D4" s="17" t="n"/>
      <c r="E4" s="17" t="n"/>
    </row>
    <row r="5">
      <c r="A5" s="23" t="inlineStr">
        <is>
          <t>Concepto</t>
        </is>
      </c>
      <c r="B5" s="23" t="inlineStr">
        <is>
          <t>€/mes año 1</t>
        </is>
      </c>
      <c r="C5" s="23" t="inlineStr">
        <is>
          <t>€/año año 1</t>
        </is>
      </c>
      <c r="D5" s="23" t="inlineStr">
        <is>
          <t>Indexación</t>
        </is>
      </c>
      <c r="E5" s="23" t="inlineStr">
        <is>
          <t>Nota</t>
        </is>
      </c>
    </row>
    <row r="6">
      <c r="A6" t="inlineStr">
        <is>
          <t>Alquiler</t>
        </is>
      </c>
      <c r="B6" s="32" t="n">
        <v>1900</v>
      </c>
      <c r="C6" s="36">
        <f>B6*12</f>
        <v/>
      </c>
      <c r="D6" s="50" t="inlineStr">
        <is>
          <t>2,0 % anual × factor de alquiler</t>
        </is>
      </c>
      <c r="E6" s="50" t="inlineStr">
        <is>
          <t>92 m² a 20,65 €/m²/mes</t>
        </is>
      </c>
    </row>
    <row r="7">
      <c r="A7" t="inlineStr">
        <is>
          <t>Suministros</t>
        </is>
      </c>
      <c r="B7" s="32" t="n">
        <v>1450</v>
      </c>
      <c r="C7" s="36">
        <f>B7*12</f>
        <v/>
      </c>
      <c r="D7" s="50" t="inlineStr">
        <is>
          <t>Inflación de servicios del escenario</t>
        </is>
      </c>
      <c r="E7" s="50" t="inlineStr">
        <is>
          <t>Luz, gas, agua y residuos</t>
        </is>
      </c>
    </row>
    <row r="8">
      <c r="A8" t="inlineStr">
        <is>
          <t>Servicios fijos</t>
        </is>
      </c>
      <c r="B8" s="32" t="n">
        <v>780</v>
      </c>
      <c r="C8" s="36">
        <f>B8*12</f>
        <v/>
      </c>
      <c r="D8" s="50" t="inlineStr">
        <is>
          <t>Inflación de servicios del escenario</t>
        </is>
      </c>
      <c r="E8" s="50" t="inlineStr">
        <is>
          <t>Internet, TPV, software, seguro, gestoría y alarma</t>
        </is>
      </c>
    </row>
    <row r="9">
      <c r="A9" t="inlineStr">
        <is>
          <t>Marketing fijo</t>
        </is>
      </c>
      <c r="B9" s="32" t="n">
        <v>450</v>
      </c>
      <c r="C9" s="36">
        <f>B9*12</f>
        <v/>
      </c>
      <c r="D9" s="50" t="inlineStr">
        <is>
          <t>2,5 % anual</t>
        </is>
      </c>
      <c r="E9" s="50" t="inlineStr">
        <is>
          <t>Contenido, fotografía e impresos</t>
        </is>
      </c>
    </row>
    <row r="10">
      <c r="A10" t="inlineStr">
        <is>
          <t>Otros gastos</t>
        </is>
      </c>
      <c r="B10" s="32" t="n">
        <v>1100</v>
      </c>
      <c r="C10" s="36">
        <f>B10*12</f>
        <v/>
      </c>
      <c r="D10" s="50" t="inlineStr">
        <is>
          <t>Crecimiento de otros × factor</t>
        </is>
      </c>
      <c r="E10" s="50" t="inlineStr">
        <is>
          <t>Limpieza, mantenimiento, formación, banca y comisiones</t>
        </is>
      </c>
    </row>
    <row r="11">
      <c r="A11" s="44" t="inlineStr">
        <is>
          <t>Total</t>
        </is>
      </c>
      <c r="B11" s="49">
        <f>SUM(B6:B10)</f>
        <v/>
      </c>
      <c r="C11" s="49">
        <f>SUM(C6:C10)</f>
        <v/>
      </c>
    </row>
    <row r="13" ht="20" customHeight="1">
      <c r="A13" s="16" t="inlineStr">
        <is>
          <t>CAPEX INICIAL</t>
        </is>
      </c>
      <c r="B13" s="17" t="n"/>
      <c r="C13" s="17" t="n"/>
      <c r="D13" s="17" t="n"/>
      <c r="E13" s="17" t="n"/>
    </row>
    <row r="14">
      <c r="A14" s="23" t="inlineStr">
        <is>
          <t>Activo</t>
        </is>
      </c>
      <c r="B14" s="23" t="inlineStr">
        <is>
          <t>Importe</t>
        </is>
      </c>
      <c r="C14" s="23" t="inlineStr">
        <is>
          <t>Vida útil</t>
        </is>
      </c>
      <c r="D14" s="23" t="inlineStr">
        <is>
          <t>Amortización anual</t>
        </is>
      </c>
      <c r="E14" s="23" t="inlineStr">
        <is>
          <t>Amortización mensual</t>
        </is>
      </c>
    </row>
    <row r="15">
      <c r="A15" t="inlineStr">
        <is>
          <t>Obra y adecuación</t>
        </is>
      </c>
      <c r="B15" s="32" t="n">
        <v>65000</v>
      </c>
      <c r="C15" s="51" t="n">
        <v>10</v>
      </c>
      <c r="D15" s="36">
        <f>B15/C15</f>
        <v/>
      </c>
      <c r="E15" s="52">
        <f>D15/12</f>
        <v/>
      </c>
    </row>
    <row r="16">
      <c r="A16" t="inlineStr">
        <is>
          <t>Maquinaria de café</t>
        </is>
      </c>
      <c r="B16" s="32" t="n">
        <v>28000</v>
      </c>
      <c r="C16" s="51" t="n">
        <v>7</v>
      </c>
      <c r="D16" s="36">
        <f>B16/C16</f>
        <v/>
      </c>
      <c r="E16" s="52">
        <f>D16/12</f>
        <v/>
      </c>
    </row>
    <row r="17">
      <c r="A17" t="inlineStr">
        <is>
          <t>Mobiliario y menaje</t>
        </is>
      </c>
      <c r="B17" s="32" t="n">
        <v>15000</v>
      </c>
      <c r="C17" s="51" t="n">
        <v>8</v>
      </c>
      <c r="D17" s="36">
        <f>B17/C17</f>
        <v/>
      </c>
      <c r="E17" s="52">
        <f>D17/12</f>
        <v/>
      </c>
    </row>
    <row r="18">
      <c r="A18" t="inlineStr">
        <is>
          <t>Equipo de cocina y frío</t>
        </is>
      </c>
      <c r="B18" s="32" t="n">
        <v>12000</v>
      </c>
      <c r="C18" s="51" t="n">
        <v>8</v>
      </c>
      <c r="D18" s="36">
        <f>B18/C18</f>
        <v/>
      </c>
      <c r="E18" s="52">
        <f>D18/12</f>
        <v/>
      </c>
    </row>
    <row r="19">
      <c r="A19" t="inlineStr">
        <is>
          <t>Tecnología y TPV</t>
        </is>
      </c>
      <c r="B19" s="32" t="n">
        <v>7000</v>
      </c>
      <c r="C19" s="51" t="n">
        <v>4</v>
      </c>
      <c r="D19" s="36">
        <f>B19/C19</f>
        <v/>
      </c>
      <c r="E19" s="52">
        <f>D19/12</f>
        <v/>
      </c>
    </row>
    <row r="20">
      <c r="A20" t="inlineStr">
        <is>
          <t>Licencias y apertura</t>
        </is>
      </c>
      <c r="B20" s="32" t="n">
        <v>5000</v>
      </c>
      <c r="C20" s="51" t="n">
        <v>5</v>
      </c>
      <c r="D20" s="36">
        <f>B20/C20</f>
        <v/>
      </c>
      <c r="E20" s="52">
        <f>D20/12</f>
        <v/>
      </c>
    </row>
    <row r="21">
      <c r="A21" s="44" t="inlineStr">
        <is>
          <t>Total</t>
        </is>
      </c>
      <c r="B21" s="49">
        <f>SUM(B15:B20)</f>
        <v/>
      </c>
      <c r="D21" s="49">
        <f>SUM(D15:D20)</f>
        <v/>
      </c>
      <c r="E21" s="43">
        <f>SUM(E15:E20)</f>
        <v/>
      </c>
    </row>
    <row r="23" ht="20" customHeight="1">
      <c r="A23" s="16" t="inlineStr">
        <is>
          <t>CAPEX DE MANTENIMIENTO</t>
        </is>
      </c>
      <c r="B23" s="17" t="n"/>
      <c r="C23" s="17" t="n"/>
      <c r="D23" s="17" t="n"/>
      <c r="E23" s="17" t="n"/>
    </row>
    <row r="24">
      <c r="A24" t="inlineStr">
        <is>
          <t>Capex de mantenimiento</t>
        </is>
      </c>
      <c r="B24" s="31" t="n">
        <v>0.015</v>
      </c>
      <c r="C24" s="50" t="inlineStr">
        <is>
          <t>de ingresos netos, salida de caja de inversión</t>
        </is>
      </c>
    </row>
    <row r="26" ht="20" customHeight="1">
      <c r="A26" s="16" t="inlineStr">
        <is>
          <t>CUADRE DE FUENTES Y USOS</t>
        </is>
      </c>
      <c r="B26" s="17" t="n"/>
      <c r="C26" s="17" t="n"/>
      <c r="D26" s="17" t="n"/>
      <c r="E26" s="17" t="n"/>
    </row>
    <row r="27">
      <c r="A27" s="23" t="inlineStr">
        <is>
          <t>Concepto</t>
        </is>
      </c>
      <c r="B27" s="23" t="inlineStr">
        <is>
          <t>Importe</t>
        </is>
      </c>
    </row>
    <row r="28">
      <c r="A28" t="inlineStr">
        <is>
          <t>Capex inicial</t>
        </is>
      </c>
      <c r="B28" s="36">
        <f>B21</f>
        <v/>
      </c>
    </row>
    <row r="29">
      <c r="A29" t="inlineStr">
        <is>
          <t>Stock inicial</t>
        </is>
      </c>
      <c r="B29" s="36">
        <f>Supuestos!B46</f>
        <v/>
      </c>
    </row>
    <row r="30">
      <c r="A30" s="44" t="inlineStr">
        <is>
          <t>Total usos (capex + stock + caja)</t>
        </is>
      </c>
      <c r="B30" s="49">
        <f>B21+Supuestos!B46+Supuestos!B45</f>
        <v/>
      </c>
    </row>
    <row r="31">
      <c r="A31" s="44" t="inlineStr">
        <is>
          <t>Total fuentes (equity + deuda)</t>
        </is>
      </c>
      <c r="B31" s="49">
        <f>Supuestos!B41+Supuestos!B42</f>
        <v/>
      </c>
    </row>
    <row r="32">
      <c r="A32" t="inlineStr">
        <is>
          <t>Check</t>
        </is>
      </c>
      <c r="B32" s="10">
        <f>IF(B30=B31,"OK","Revisar")</f>
        <v/>
      </c>
    </row>
    <row r="34">
      <c r="A34" s="28" t="inlineStr">
        <is>
          <t>La caja de apertura es un uso, no un ingreso. El capex de mantenimiento no genera una capa adicional de amortización.</t>
        </is>
      </c>
    </row>
  </sheetData>
  <mergeCells count="4">
    <mergeCell ref="A26:E26"/>
    <mergeCell ref="A4:E4"/>
    <mergeCell ref="A13:E13"/>
    <mergeCell ref="A23:E23"/>
  </mergeCells>
  <printOptions gridLines="0"/>
  <pageMargins left="0.75" right="0.75" top="1" bottom="1" header="0.5" footer="0.5"/>
  <pageSetup orientation="portrait" paperSize="9" fitToHeight="0" fitToWidth="1"/>
  <headerFooter>
    <oddHeader>&amp;CCafetería Aurora — Modelo 2026–2028</oddHeader>
    <oddFooter>&amp;CPágina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A33A2B"/>
    <outlinePr summaryBelow="1" summaryRight="1"/>
    <pageSetUpPr fitToPage="1"/>
  </sheetPr>
  <dimension ref="A1:AP156"/>
  <sheetViews>
    <sheetView showGridLines="1" zoomScale="85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3" customWidth="1" min="39" max="39"/>
    <col width="13" customWidth="1" min="40" max="40"/>
    <col width="13" customWidth="1" min="41" max="41"/>
    <col width="13" customWidth="1" min="42" max="42"/>
  </cols>
  <sheetData>
    <row r="1">
      <c r="A1" s="53" t="inlineStr">
        <is>
          <t>Cafetería Aurora — Escenario Pesimista</t>
        </is>
      </c>
    </row>
    <row r="2">
      <c r="A2" s="8" t="inlineStr">
        <is>
          <t>EUR, sin IVA. Solo se editan las hojas de entrada.</t>
        </is>
      </c>
    </row>
    <row r="3">
      <c r="A3" t="inlineStr">
        <is>
          <t>Selector (1/2/3):</t>
        </is>
      </c>
      <c r="B3" s="7" t="n">
        <v>1</v>
      </c>
      <c r="C3" s="50" t="inlineStr">
        <is>
          <t>1 = Pesimista · 2 = Base · 3 = Optimista</t>
        </is>
      </c>
    </row>
    <row r="4">
      <c r="A4" t="inlineStr">
        <is>
          <t>Escenario:</t>
        </is>
      </c>
      <c r="B4" s="54">
        <f>CHOOSE(B3,"Pesimista","Base","Optimista")</f>
        <v/>
      </c>
      <c r="C4" s="50" t="inlineStr">
        <is>
          <t>Cambia el selector para ver el mismo modelo con los supuestos de otro escenario.</t>
        </is>
      </c>
    </row>
    <row r="5">
      <c r="A5" s="12" t="inlineStr">
        <is>
          <t>Índice de mes</t>
        </is>
      </c>
      <c r="B5" s="28" t="inlineStr">
        <is>
          <t>mes</t>
        </is>
      </c>
      <c r="C5" s="7" t="n">
        <v>1</v>
      </c>
      <c r="D5" s="37">
        <f>C5+1</f>
        <v/>
      </c>
      <c r="E5" s="37">
        <f>D5+1</f>
        <v/>
      </c>
      <c r="F5" s="37">
        <f>E5+1</f>
        <v/>
      </c>
      <c r="G5" s="37">
        <f>F5+1</f>
        <v/>
      </c>
      <c r="H5" s="37">
        <f>G5+1</f>
        <v/>
      </c>
      <c r="I5" s="37">
        <f>H5+1</f>
        <v/>
      </c>
      <c r="J5" s="37">
        <f>I5+1</f>
        <v/>
      </c>
      <c r="K5" s="37">
        <f>J5+1</f>
        <v/>
      </c>
      <c r="L5" s="37">
        <f>K5+1</f>
        <v/>
      </c>
      <c r="M5" s="37">
        <f>L5+1</f>
        <v/>
      </c>
      <c r="N5" s="37">
        <f>M5+1</f>
        <v/>
      </c>
      <c r="O5" s="37">
        <f>N5+1</f>
        <v/>
      </c>
      <c r="P5" s="37">
        <f>O5+1</f>
        <v/>
      </c>
      <c r="Q5" s="37">
        <f>P5+1</f>
        <v/>
      </c>
      <c r="R5" s="37">
        <f>Q5+1</f>
        <v/>
      </c>
      <c r="S5" s="37">
        <f>R5+1</f>
        <v/>
      </c>
      <c r="T5" s="37">
        <f>S5+1</f>
        <v/>
      </c>
      <c r="U5" s="37">
        <f>T5+1</f>
        <v/>
      </c>
      <c r="V5" s="37">
        <f>U5+1</f>
        <v/>
      </c>
      <c r="W5" s="37">
        <f>V5+1</f>
        <v/>
      </c>
      <c r="X5" s="37">
        <f>W5+1</f>
        <v/>
      </c>
      <c r="Y5" s="37">
        <f>X5+1</f>
        <v/>
      </c>
      <c r="Z5" s="37">
        <f>Y5+1</f>
        <v/>
      </c>
      <c r="AA5" s="37">
        <f>Z5+1</f>
        <v/>
      </c>
      <c r="AB5" s="37">
        <f>AA5+1</f>
        <v/>
      </c>
      <c r="AC5" s="37">
        <f>AB5+1</f>
        <v/>
      </c>
      <c r="AD5" s="37">
        <f>AC5+1</f>
        <v/>
      </c>
      <c r="AE5" s="37">
        <f>AD5+1</f>
        <v/>
      </c>
      <c r="AF5" s="37">
        <f>AE5+1</f>
        <v/>
      </c>
      <c r="AG5" s="37">
        <f>AF5+1</f>
        <v/>
      </c>
      <c r="AH5" s="37">
        <f>AG5+1</f>
        <v/>
      </c>
      <c r="AI5" s="37">
        <f>AH5+1</f>
        <v/>
      </c>
      <c r="AJ5" s="37">
        <f>AI5+1</f>
        <v/>
      </c>
      <c r="AK5" s="37">
        <f>AJ5+1</f>
        <v/>
      </c>
      <c r="AL5" s="37">
        <f>AK5+1</f>
        <v/>
      </c>
    </row>
    <row r="6">
      <c r="A6" s="12" t="inlineStr">
        <is>
          <t>Fecha</t>
        </is>
      </c>
      <c r="B6" s="28" t="inlineStr">
        <is>
          <t>fecha</t>
        </is>
      </c>
      <c r="C6" s="55">
        <f>DATE(2026,1,1)</f>
        <v/>
      </c>
      <c r="D6" s="56">
        <f>EDATE(C6,1)</f>
        <v/>
      </c>
      <c r="E6" s="56">
        <f>EDATE(D6,1)</f>
        <v/>
      </c>
      <c r="F6" s="56">
        <f>EDATE(E6,1)</f>
        <v/>
      </c>
      <c r="G6" s="56">
        <f>EDATE(F6,1)</f>
        <v/>
      </c>
      <c r="H6" s="56">
        <f>EDATE(G6,1)</f>
        <v/>
      </c>
      <c r="I6" s="56">
        <f>EDATE(H6,1)</f>
        <v/>
      </c>
      <c r="J6" s="56">
        <f>EDATE(I6,1)</f>
        <v/>
      </c>
      <c r="K6" s="56">
        <f>EDATE(J6,1)</f>
        <v/>
      </c>
      <c r="L6" s="56">
        <f>EDATE(K6,1)</f>
        <v/>
      </c>
      <c r="M6" s="56">
        <f>EDATE(L6,1)</f>
        <v/>
      </c>
      <c r="N6" s="56">
        <f>EDATE(M6,1)</f>
        <v/>
      </c>
      <c r="O6" s="56">
        <f>EDATE(N6,1)</f>
        <v/>
      </c>
      <c r="P6" s="56">
        <f>EDATE(O6,1)</f>
        <v/>
      </c>
      <c r="Q6" s="56">
        <f>EDATE(P6,1)</f>
        <v/>
      </c>
      <c r="R6" s="56">
        <f>EDATE(Q6,1)</f>
        <v/>
      </c>
      <c r="S6" s="56">
        <f>EDATE(R6,1)</f>
        <v/>
      </c>
      <c r="T6" s="56">
        <f>EDATE(S6,1)</f>
        <v/>
      </c>
      <c r="U6" s="56">
        <f>EDATE(T6,1)</f>
        <v/>
      </c>
      <c r="V6" s="56">
        <f>EDATE(U6,1)</f>
        <v/>
      </c>
      <c r="W6" s="56">
        <f>EDATE(V6,1)</f>
        <v/>
      </c>
      <c r="X6" s="56">
        <f>EDATE(W6,1)</f>
        <v/>
      </c>
      <c r="Y6" s="56">
        <f>EDATE(X6,1)</f>
        <v/>
      </c>
      <c r="Z6" s="56">
        <f>EDATE(Y6,1)</f>
        <v/>
      </c>
      <c r="AA6" s="56">
        <f>EDATE(Z6,1)</f>
        <v/>
      </c>
      <c r="AB6" s="56">
        <f>EDATE(AA6,1)</f>
        <v/>
      </c>
      <c r="AC6" s="56">
        <f>EDATE(AB6,1)</f>
        <v/>
      </c>
      <c r="AD6" s="56">
        <f>EDATE(AC6,1)</f>
        <v/>
      </c>
      <c r="AE6" s="56">
        <f>EDATE(AD6,1)</f>
        <v/>
      </c>
      <c r="AF6" s="56">
        <f>EDATE(AE6,1)</f>
        <v/>
      </c>
      <c r="AG6" s="56">
        <f>EDATE(AF6,1)</f>
        <v/>
      </c>
      <c r="AH6" s="56">
        <f>EDATE(AG6,1)</f>
        <v/>
      </c>
      <c r="AI6" s="56">
        <f>EDATE(AH6,1)</f>
        <v/>
      </c>
      <c r="AJ6" s="56">
        <f>EDATE(AI6,1)</f>
        <v/>
      </c>
      <c r="AK6" s="56">
        <f>EDATE(AJ6,1)</f>
        <v/>
      </c>
      <c r="AL6" s="56">
        <f>EDATE(AK6,1)</f>
        <v/>
      </c>
    </row>
    <row r="7">
      <c r="A7" s="12" t="inlineStr">
        <is>
          <t>Año</t>
        </is>
      </c>
      <c r="B7" s="28" t="inlineStr">
        <is>
          <t>1–3</t>
        </is>
      </c>
      <c r="C7" s="37">
        <f>ROUNDUP(C5/12,0)</f>
        <v/>
      </c>
      <c r="D7" s="37">
        <f>ROUNDUP(D5/12,0)</f>
        <v/>
      </c>
      <c r="E7" s="37">
        <f>ROUNDUP(E5/12,0)</f>
        <v/>
      </c>
      <c r="F7" s="37">
        <f>ROUNDUP(F5/12,0)</f>
        <v/>
      </c>
      <c r="G7" s="37">
        <f>ROUNDUP(G5/12,0)</f>
        <v/>
      </c>
      <c r="H7" s="37">
        <f>ROUNDUP(H5/12,0)</f>
        <v/>
      </c>
      <c r="I7" s="37">
        <f>ROUNDUP(I5/12,0)</f>
        <v/>
      </c>
      <c r="J7" s="37">
        <f>ROUNDUP(J5/12,0)</f>
        <v/>
      </c>
      <c r="K7" s="37">
        <f>ROUNDUP(K5/12,0)</f>
        <v/>
      </c>
      <c r="L7" s="37">
        <f>ROUNDUP(L5/12,0)</f>
        <v/>
      </c>
      <c r="M7" s="37">
        <f>ROUNDUP(M5/12,0)</f>
        <v/>
      </c>
      <c r="N7" s="37">
        <f>ROUNDUP(N5/12,0)</f>
        <v/>
      </c>
      <c r="O7" s="37">
        <f>ROUNDUP(O5/12,0)</f>
        <v/>
      </c>
      <c r="P7" s="37">
        <f>ROUNDUP(P5/12,0)</f>
        <v/>
      </c>
      <c r="Q7" s="37">
        <f>ROUNDUP(Q5/12,0)</f>
        <v/>
      </c>
      <c r="R7" s="37">
        <f>ROUNDUP(R5/12,0)</f>
        <v/>
      </c>
      <c r="S7" s="37">
        <f>ROUNDUP(S5/12,0)</f>
        <v/>
      </c>
      <c r="T7" s="37">
        <f>ROUNDUP(T5/12,0)</f>
        <v/>
      </c>
      <c r="U7" s="37">
        <f>ROUNDUP(U5/12,0)</f>
        <v/>
      </c>
      <c r="V7" s="37">
        <f>ROUNDUP(V5/12,0)</f>
        <v/>
      </c>
      <c r="W7" s="37">
        <f>ROUNDUP(W5/12,0)</f>
        <v/>
      </c>
      <c r="X7" s="37">
        <f>ROUNDUP(X5/12,0)</f>
        <v/>
      </c>
      <c r="Y7" s="37">
        <f>ROUNDUP(Y5/12,0)</f>
        <v/>
      </c>
      <c r="Z7" s="37">
        <f>ROUNDUP(Z5/12,0)</f>
        <v/>
      </c>
      <c r="AA7" s="37">
        <f>ROUNDUP(AA5/12,0)</f>
        <v/>
      </c>
      <c r="AB7" s="37">
        <f>ROUNDUP(AB5/12,0)</f>
        <v/>
      </c>
      <c r="AC7" s="37">
        <f>ROUNDUP(AC5/12,0)</f>
        <v/>
      </c>
      <c r="AD7" s="37">
        <f>ROUNDUP(AD5/12,0)</f>
        <v/>
      </c>
      <c r="AE7" s="37">
        <f>ROUNDUP(AE5/12,0)</f>
        <v/>
      </c>
      <c r="AF7" s="37">
        <f>ROUNDUP(AF5/12,0)</f>
        <v/>
      </c>
      <c r="AG7" s="37">
        <f>ROUNDUP(AG5/12,0)</f>
        <v/>
      </c>
      <c r="AH7" s="37">
        <f>ROUNDUP(AH5/12,0)</f>
        <v/>
      </c>
      <c r="AI7" s="37">
        <f>ROUNDUP(AI5/12,0)</f>
        <v/>
      </c>
      <c r="AJ7" s="37">
        <f>ROUNDUP(AJ5/12,0)</f>
        <v/>
      </c>
      <c r="AK7" s="37">
        <f>ROUNDUP(AK5/12,0)</f>
        <v/>
      </c>
      <c r="AL7" s="37">
        <f>ROUNDUP(AL5/12,0)</f>
        <v/>
      </c>
    </row>
    <row r="8">
      <c r="A8" s="12" t="inlineStr">
        <is>
          <t>Mes</t>
        </is>
      </c>
      <c r="B8" s="28" t="inlineStr">
        <is>
          <t>1–12</t>
        </is>
      </c>
      <c r="C8" s="37">
        <f>MOD(C5-1,12)+1</f>
        <v/>
      </c>
      <c r="D8" s="37">
        <f>MOD(D5-1,12)+1</f>
        <v/>
      </c>
      <c r="E8" s="37">
        <f>MOD(E5-1,12)+1</f>
        <v/>
      </c>
      <c r="F8" s="37">
        <f>MOD(F5-1,12)+1</f>
        <v/>
      </c>
      <c r="G8" s="37">
        <f>MOD(G5-1,12)+1</f>
        <v/>
      </c>
      <c r="H8" s="37">
        <f>MOD(H5-1,12)+1</f>
        <v/>
      </c>
      <c r="I8" s="37">
        <f>MOD(I5-1,12)+1</f>
        <v/>
      </c>
      <c r="J8" s="37">
        <f>MOD(J5-1,12)+1</f>
        <v/>
      </c>
      <c r="K8" s="37">
        <f>MOD(K5-1,12)+1</f>
        <v/>
      </c>
      <c r="L8" s="37">
        <f>MOD(L5-1,12)+1</f>
        <v/>
      </c>
      <c r="M8" s="37">
        <f>MOD(M5-1,12)+1</f>
        <v/>
      </c>
      <c r="N8" s="37">
        <f>MOD(N5-1,12)+1</f>
        <v/>
      </c>
      <c r="O8" s="37">
        <f>MOD(O5-1,12)+1</f>
        <v/>
      </c>
      <c r="P8" s="37">
        <f>MOD(P5-1,12)+1</f>
        <v/>
      </c>
      <c r="Q8" s="37">
        <f>MOD(Q5-1,12)+1</f>
        <v/>
      </c>
      <c r="R8" s="37">
        <f>MOD(R5-1,12)+1</f>
        <v/>
      </c>
      <c r="S8" s="37">
        <f>MOD(S5-1,12)+1</f>
        <v/>
      </c>
      <c r="T8" s="37">
        <f>MOD(T5-1,12)+1</f>
        <v/>
      </c>
      <c r="U8" s="37">
        <f>MOD(U5-1,12)+1</f>
        <v/>
      </c>
      <c r="V8" s="37">
        <f>MOD(V5-1,12)+1</f>
        <v/>
      </c>
      <c r="W8" s="37">
        <f>MOD(W5-1,12)+1</f>
        <v/>
      </c>
      <c r="X8" s="37">
        <f>MOD(X5-1,12)+1</f>
        <v/>
      </c>
      <c r="Y8" s="37">
        <f>MOD(Y5-1,12)+1</f>
        <v/>
      </c>
      <c r="Z8" s="37">
        <f>MOD(Z5-1,12)+1</f>
        <v/>
      </c>
      <c r="AA8" s="37">
        <f>MOD(AA5-1,12)+1</f>
        <v/>
      </c>
      <c r="AB8" s="37">
        <f>MOD(AB5-1,12)+1</f>
        <v/>
      </c>
      <c r="AC8" s="37">
        <f>MOD(AC5-1,12)+1</f>
        <v/>
      </c>
      <c r="AD8" s="37">
        <f>MOD(AD5-1,12)+1</f>
        <v/>
      </c>
      <c r="AE8" s="37">
        <f>MOD(AE5-1,12)+1</f>
        <v/>
      </c>
      <c r="AF8" s="37">
        <f>MOD(AF5-1,12)+1</f>
        <v/>
      </c>
      <c r="AG8" s="37">
        <f>MOD(AG5-1,12)+1</f>
        <v/>
      </c>
      <c r="AH8" s="37">
        <f>MOD(AH5-1,12)+1</f>
        <v/>
      </c>
      <c r="AI8" s="37">
        <f>MOD(AI5-1,12)+1</f>
        <v/>
      </c>
      <c r="AJ8" s="37">
        <f>MOD(AJ5-1,12)+1</f>
        <v/>
      </c>
      <c r="AK8" s="37">
        <f>MOD(AK5-1,12)+1</f>
        <v/>
      </c>
      <c r="AL8" s="37">
        <f>MOD(AL5-1,12)+1</f>
        <v/>
      </c>
    </row>
    <row r="9">
      <c r="A9" s="12" t="inlineStr">
        <is>
          <t>Días operativos</t>
        </is>
      </c>
      <c r="B9" s="28" t="inlineStr">
        <is>
          <t>días</t>
        </is>
      </c>
      <c r="C9" s="27">
        <f>INDEX(OpeningDays,1,C8)</f>
        <v/>
      </c>
      <c r="D9" s="27">
        <f>INDEX(OpeningDays,1,D8)</f>
        <v/>
      </c>
      <c r="E9" s="27">
        <f>INDEX(OpeningDays,1,E8)</f>
        <v/>
      </c>
      <c r="F9" s="27">
        <f>INDEX(OpeningDays,1,F8)</f>
        <v/>
      </c>
      <c r="G9" s="27">
        <f>INDEX(OpeningDays,1,G8)</f>
        <v/>
      </c>
      <c r="H9" s="27">
        <f>INDEX(OpeningDays,1,H8)</f>
        <v/>
      </c>
      <c r="I9" s="27">
        <f>INDEX(OpeningDays,1,I8)</f>
        <v/>
      </c>
      <c r="J9" s="27">
        <f>INDEX(OpeningDays,1,J8)</f>
        <v/>
      </c>
      <c r="K9" s="27">
        <f>INDEX(OpeningDays,1,K8)</f>
        <v/>
      </c>
      <c r="L9" s="27">
        <f>INDEX(OpeningDays,1,L8)</f>
        <v/>
      </c>
      <c r="M9" s="27">
        <f>INDEX(OpeningDays,1,M8)</f>
        <v/>
      </c>
      <c r="N9" s="27">
        <f>INDEX(OpeningDays,1,N8)</f>
        <v/>
      </c>
      <c r="O9" s="27">
        <f>INDEX(OpeningDays,1,O8)</f>
        <v/>
      </c>
      <c r="P9" s="27">
        <f>INDEX(OpeningDays,1,P8)</f>
        <v/>
      </c>
      <c r="Q9" s="27">
        <f>INDEX(OpeningDays,1,Q8)</f>
        <v/>
      </c>
      <c r="R9" s="27">
        <f>INDEX(OpeningDays,1,R8)</f>
        <v/>
      </c>
      <c r="S9" s="27">
        <f>INDEX(OpeningDays,1,S8)</f>
        <v/>
      </c>
      <c r="T9" s="27">
        <f>INDEX(OpeningDays,1,T8)</f>
        <v/>
      </c>
      <c r="U9" s="27">
        <f>INDEX(OpeningDays,1,U8)</f>
        <v/>
      </c>
      <c r="V9" s="27">
        <f>INDEX(OpeningDays,1,V8)</f>
        <v/>
      </c>
      <c r="W9" s="27">
        <f>INDEX(OpeningDays,1,W8)</f>
        <v/>
      </c>
      <c r="X9" s="27">
        <f>INDEX(OpeningDays,1,X8)</f>
        <v/>
      </c>
      <c r="Y9" s="27">
        <f>INDEX(OpeningDays,1,Y8)</f>
        <v/>
      </c>
      <c r="Z9" s="27">
        <f>INDEX(OpeningDays,1,Z8)</f>
        <v/>
      </c>
      <c r="AA9" s="27">
        <f>INDEX(OpeningDays,1,AA8)</f>
        <v/>
      </c>
      <c r="AB9" s="27">
        <f>INDEX(OpeningDays,1,AB8)</f>
        <v/>
      </c>
      <c r="AC9" s="27">
        <f>INDEX(OpeningDays,1,AC8)</f>
        <v/>
      </c>
      <c r="AD9" s="27">
        <f>INDEX(OpeningDays,1,AD8)</f>
        <v/>
      </c>
      <c r="AE9" s="27">
        <f>INDEX(OpeningDays,1,AE8)</f>
        <v/>
      </c>
      <c r="AF9" s="27">
        <f>INDEX(OpeningDays,1,AF8)</f>
        <v/>
      </c>
      <c r="AG9" s="27">
        <f>INDEX(OpeningDays,1,AG8)</f>
        <v/>
      </c>
      <c r="AH9" s="27">
        <f>INDEX(OpeningDays,1,AH8)</f>
        <v/>
      </c>
      <c r="AI9" s="27">
        <f>INDEX(OpeningDays,1,AI8)</f>
        <v/>
      </c>
      <c r="AJ9" s="27">
        <f>INDEX(OpeningDays,1,AJ8)</f>
        <v/>
      </c>
      <c r="AK9" s="27">
        <f>INDEX(OpeningDays,1,AK8)</f>
        <v/>
      </c>
      <c r="AL9" s="27">
        <f>INDEX(OpeningDays,1,AL8)</f>
        <v/>
      </c>
      <c r="AM9" s="27">
        <f>SUM(C9:N9)</f>
        <v/>
      </c>
      <c r="AN9" s="27">
        <f>SUM(O9:Z9)</f>
        <v/>
      </c>
      <c r="AO9" s="27">
        <f>SUM(AA9:AL9)</f>
        <v/>
      </c>
      <c r="AP9" s="27">
        <f>SUM(AM9:AO9)</f>
        <v/>
      </c>
    </row>
    <row r="11" ht="20" customHeight="1">
      <c r="A11" s="16" t="inlineStr">
        <is>
          <t>CUENTA DE RESULTADOS</t>
        </is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</row>
    <row r="12">
      <c r="A12" s="6" t="inlineStr">
        <is>
          <t>Tickets/día</t>
        </is>
      </c>
      <c r="B12" s="24" t="inlineStr">
        <is>
          <t>tickets/día</t>
        </is>
      </c>
      <c r="C12" s="57">
        <f>BaseTicketsDay*INDEX(ScenarioMatrix,1,$B$3)*(1+INDEX(ScenarioMatrix,2,$B$3))^(1-1)*INDEX(Seasonality,1,C8)*IF(1=1,INDEX(Ramp,1,C8),1)</f>
        <v/>
      </c>
      <c r="D12" s="57">
        <f>BaseTicketsDay*INDEX(ScenarioMatrix,1,$B$3)*(1+INDEX(ScenarioMatrix,2,$B$3))^(1-1)*INDEX(Seasonality,1,D8)*IF(1=1,INDEX(Ramp,1,D8),1)</f>
        <v/>
      </c>
      <c r="E12" s="57">
        <f>BaseTicketsDay*INDEX(ScenarioMatrix,1,$B$3)*(1+INDEX(ScenarioMatrix,2,$B$3))^(1-1)*INDEX(Seasonality,1,E8)*IF(1=1,INDEX(Ramp,1,E8),1)</f>
        <v/>
      </c>
      <c r="F12" s="57">
        <f>BaseTicketsDay*INDEX(ScenarioMatrix,1,$B$3)*(1+INDEX(ScenarioMatrix,2,$B$3))^(1-1)*INDEX(Seasonality,1,F8)*IF(1=1,INDEX(Ramp,1,F8),1)</f>
        <v/>
      </c>
      <c r="G12" s="57">
        <f>BaseTicketsDay*INDEX(ScenarioMatrix,1,$B$3)*(1+INDEX(ScenarioMatrix,2,$B$3))^(1-1)*INDEX(Seasonality,1,G8)*IF(1=1,INDEX(Ramp,1,G8),1)</f>
        <v/>
      </c>
      <c r="H12" s="57">
        <f>BaseTicketsDay*INDEX(ScenarioMatrix,1,$B$3)*(1+INDEX(ScenarioMatrix,2,$B$3))^(1-1)*INDEX(Seasonality,1,H8)*IF(1=1,INDEX(Ramp,1,H8),1)</f>
        <v/>
      </c>
      <c r="I12" s="57">
        <f>BaseTicketsDay*INDEX(ScenarioMatrix,1,$B$3)*(1+INDEX(ScenarioMatrix,2,$B$3))^(1-1)*INDEX(Seasonality,1,I8)*IF(1=1,INDEX(Ramp,1,I8),1)</f>
        <v/>
      </c>
      <c r="J12" s="57">
        <f>BaseTicketsDay*INDEX(ScenarioMatrix,1,$B$3)*(1+INDEX(ScenarioMatrix,2,$B$3))^(1-1)*INDEX(Seasonality,1,J8)*IF(1=1,INDEX(Ramp,1,J8),1)</f>
        <v/>
      </c>
      <c r="K12" s="57">
        <f>BaseTicketsDay*INDEX(ScenarioMatrix,1,$B$3)*(1+INDEX(ScenarioMatrix,2,$B$3))^(1-1)*INDEX(Seasonality,1,K8)*IF(1=1,INDEX(Ramp,1,K8),1)</f>
        <v/>
      </c>
      <c r="L12" s="57">
        <f>BaseTicketsDay*INDEX(ScenarioMatrix,1,$B$3)*(1+INDEX(ScenarioMatrix,2,$B$3))^(1-1)*INDEX(Seasonality,1,L8)*IF(1=1,INDEX(Ramp,1,L8),1)</f>
        <v/>
      </c>
      <c r="M12" s="57">
        <f>BaseTicketsDay*INDEX(ScenarioMatrix,1,$B$3)*(1+INDEX(ScenarioMatrix,2,$B$3))^(1-1)*INDEX(Seasonality,1,M8)*IF(1=1,INDEX(Ramp,1,M8),1)</f>
        <v/>
      </c>
      <c r="N12" s="57">
        <f>BaseTicketsDay*INDEX(ScenarioMatrix,1,$B$3)*(1+INDEX(ScenarioMatrix,2,$B$3))^(1-1)*INDEX(Seasonality,1,N8)*IF(1=1,INDEX(Ramp,1,N8),1)</f>
        <v/>
      </c>
      <c r="O12" s="57">
        <f>BaseTicketsDay*INDEX(ScenarioMatrix,1,$B$3)*(1+INDEX(ScenarioMatrix,2,$B$3))^(2-1)*INDEX(Seasonality,1,O8)*IF(2=1,INDEX(Ramp,1,O8),1)</f>
        <v/>
      </c>
      <c r="P12" s="57">
        <f>BaseTicketsDay*INDEX(ScenarioMatrix,1,$B$3)*(1+INDEX(ScenarioMatrix,2,$B$3))^(2-1)*INDEX(Seasonality,1,P8)*IF(2=1,INDEX(Ramp,1,P8),1)</f>
        <v/>
      </c>
      <c r="Q12" s="57">
        <f>BaseTicketsDay*INDEX(ScenarioMatrix,1,$B$3)*(1+INDEX(ScenarioMatrix,2,$B$3))^(2-1)*INDEX(Seasonality,1,Q8)*IF(2=1,INDEX(Ramp,1,Q8),1)</f>
        <v/>
      </c>
      <c r="R12" s="57">
        <f>BaseTicketsDay*INDEX(ScenarioMatrix,1,$B$3)*(1+INDEX(ScenarioMatrix,2,$B$3))^(2-1)*INDEX(Seasonality,1,R8)*IF(2=1,INDEX(Ramp,1,R8),1)</f>
        <v/>
      </c>
      <c r="S12" s="57">
        <f>BaseTicketsDay*INDEX(ScenarioMatrix,1,$B$3)*(1+INDEX(ScenarioMatrix,2,$B$3))^(2-1)*INDEX(Seasonality,1,S8)*IF(2=1,INDEX(Ramp,1,S8),1)</f>
        <v/>
      </c>
      <c r="T12" s="57">
        <f>BaseTicketsDay*INDEX(ScenarioMatrix,1,$B$3)*(1+INDEX(ScenarioMatrix,2,$B$3))^(2-1)*INDEX(Seasonality,1,T8)*IF(2=1,INDEX(Ramp,1,T8),1)</f>
        <v/>
      </c>
      <c r="U12" s="57">
        <f>BaseTicketsDay*INDEX(ScenarioMatrix,1,$B$3)*(1+INDEX(ScenarioMatrix,2,$B$3))^(2-1)*INDEX(Seasonality,1,U8)*IF(2=1,INDEX(Ramp,1,U8),1)</f>
        <v/>
      </c>
      <c r="V12" s="57">
        <f>BaseTicketsDay*INDEX(ScenarioMatrix,1,$B$3)*(1+INDEX(ScenarioMatrix,2,$B$3))^(2-1)*INDEX(Seasonality,1,V8)*IF(2=1,INDEX(Ramp,1,V8),1)</f>
        <v/>
      </c>
      <c r="W12" s="57">
        <f>BaseTicketsDay*INDEX(ScenarioMatrix,1,$B$3)*(1+INDEX(ScenarioMatrix,2,$B$3))^(2-1)*INDEX(Seasonality,1,W8)*IF(2=1,INDEX(Ramp,1,W8),1)</f>
        <v/>
      </c>
      <c r="X12" s="57">
        <f>BaseTicketsDay*INDEX(ScenarioMatrix,1,$B$3)*(1+INDEX(ScenarioMatrix,2,$B$3))^(2-1)*INDEX(Seasonality,1,X8)*IF(2=1,INDEX(Ramp,1,X8),1)</f>
        <v/>
      </c>
      <c r="Y12" s="57">
        <f>BaseTicketsDay*INDEX(ScenarioMatrix,1,$B$3)*(1+INDEX(ScenarioMatrix,2,$B$3))^(2-1)*INDEX(Seasonality,1,Y8)*IF(2=1,INDEX(Ramp,1,Y8),1)</f>
        <v/>
      </c>
      <c r="Z12" s="57">
        <f>BaseTicketsDay*INDEX(ScenarioMatrix,1,$B$3)*(1+INDEX(ScenarioMatrix,2,$B$3))^(2-1)*INDEX(Seasonality,1,Z8)*IF(2=1,INDEX(Ramp,1,Z8),1)</f>
        <v/>
      </c>
      <c r="AA12" s="57">
        <f>BaseTicketsDay*INDEX(ScenarioMatrix,1,$B$3)*(1+INDEX(ScenarioMatrix,2,$B$3))^(3-1)*INDEX(Seasonality,1,AA8)*IF(3=1,INDEX(Ramp,1,AA8),1)</f>
        <v/>
      </c>
      <c r="AB12" s="57">
        <f>BaseTicketsDay*INDEX(ScenarioMatrix,1,$B$3)*(1+INDEX(ScenarioMatrix,2,$B$3))^(3-1)*INDEX(Seasonality,1,AB8)*IF(3=1,INDEX(Ramp,1,AB8),1)</f>
        <v/>
      </c>
      <c r="AC12" s="57">
        <f>BaseTicketsDay*INDEX(ScenarioMatrix,1,$B$3)*(1+INDEX(ScenarioMatrix,2,$B$3))^(3-1)*INDEX(Seasonality,1,AC8)*IF(3=1,INDEX(Ramp,1,AC8),1)</f>
        <v/>
      </c>
      <c r="AD12" s="57">
        <f>BaseTicketsDay*INDEX(ScenarioMatrix,1,$B$3)*(1+INDEX(ScenarioMatrix,2,$B$3))^(3-1)*INDEX(Seasonality,1,AD8)*IF(3=1,INDEX(Ramp,1,AD8),1)</f>
        <v/>
      </c>
      <c r="AE12" s="57">
        <f>BaseTicketsDay*INDEX(ScenarioMatrix,1,$B$3)*(1+INDEX(ScenarioMatrix,2,$B$3))^(3-1)*INDEX(Seasonality,1,AE8)*IF(3=1,INDEX(Ramp,1,AE8),1)</f>
        <v/>
      </c>
      <c r="AF12" s="57">
        <f>BaseTicketsDay*INDEX(ScenarioMatrix,1,$B$3)*(1+INDEX(ScenarioMatrix,2,$B$3))^(3-1)*INDEX(Seasonality,1,AF8)*IF(3=1,INDEX(Ramp,1,AF8),1)</f>
        <v/>
      </c>
      <c r="AG12" s="57">
        <f>BaseTicketsDay*INDEX(ScenarioMatrix,1,$B$3)*(1+INDEX(ScenarioMatrix,2,$B$3))^(3-1)*INDEX(Seasonality,1,AG8)*IF(3=1,INDEX(Ramp,1,AG8),1)</f>
        <v/>
      </c>
      <c r="AH12" s="57">
        <f>BaseTicketsDay*INDEX(ScenarioMatrix,1,$B$3)*(1+INDEX(ScenarioMatrix,2,$B$3))^(3-1)*INDEX(Seasonality,1,AH8)*IF(3=1,INDEX(Ramp,1,AH8),1)</f>
        <v/>
      </c>
      <c r="AI12" s="57">
        <f>BaseTicketsDay*INDEX(ScenarioMatrix,1,$B$3)*(1+INDEX(ScenarioMatrix,2,$B$3))^(3-1)*INDEX(Seasonality,1,AI8)*IF(3=1,INDEX(Ramp,1,AI8),1)</f>
        <v/>
      </c>
      <c r="AJ12" s="57">
        <f>BaseTicketsDay*INDEX(ScenarioMatrix,1,$B$3)*(1+INDEX(ScenarioMatrix,2,$B$3))^(3-1)*INDEX(Seasonality,1,AJ8)*IF(3=1,INDEX(Ramp,1,AJ8),1)</f>
        <v/>
      </c>
      <c r="AK12" s="57">
        <f>BaseTicketsDay*INDEX(ScenarioMatrix,1,$B$3)*(1+INDEX(ScenarioMatrix,2,$B$3))^(3-1)*INDEX(Seasonality,1,AK8)*IF(3=1,INDEX(Ramp,1,AK8),1)</f>
        <v/>
      </c>
      <c r="AL12" s="57">
        <f>BaseTicketsDay*INDEX(ScenarioMatrix,1,$B$3)*(1+INDEX(ScenarioMatrix,2,$B$3))^(3-1)*INDEX(Seasonality,1,AL8)*IF(3=1,INDEX(Ramp,1,AL8),1)</f>
        <v/>
      </c>
      <c r="AM12" s="57">
        <f>SUM(C12:N12)</f>
        <v/>
      </c>
      <c r="AN12" s="57">
        <f>SUM(O12:Z12)</f>
        <v/>
      </c>
      <c r="AO12" s="57">
        <f>SUM(AA12:AL12)</f>
        <v/>
      </c>
      <c r="AP12" s="57">
        <f>SUM(AM12:AO12)</f>
        <v/>
      </c>
    </row>
    <row r="13">
      <c r="A13" s="6" t="inlineStr">
        <is>
          <t>Tickets</t>
        </is>
      </c>
      <c r="B13" s="24" t="inlineStr">
        <is>
          <t>tickets</t>
        </is>
      </c>
      <c r="C13" s="58">
        <f>C12*C9</f>
        <v/>
      </c>
      <c r="D13" s="58">
        <f>D12*D9</f>
        <v/>
      </c>
      <c r="E13" s="58">
        <f>E12*E9</f>
        <v/>
      </c>
      <c r="F13" s="58">
        <f>F12*F9</f>
        <v/>
      </c>
      <c r="G13" s="58">
        <f>G12*G9</f>
        <v/>
      </c>
      <c r="H13" s="58">
        <f>H12*H9</f>
        <v/>
      </c>
      <c r="I13" s="58">
        <f>I12*I9</f>
        <v/>
      </c>
      <c r="J13" s="58">
        <f>J12*J9</f>
        <v/>
      </c>
      <c r="K13" s="58">
        <f>K12*K9</f>
        <v/>
      </c>
      <c r="L13" s="58">
        <f>L12*L9</f>
        <v/>
      </c>
      <c r="M13" s="58">
        <f>M12*M9</f>
        <v/>
      </c>
      <c r="N13" s="58">
        <f>N12*N9</f>
        <v/>
      </c>
      <c r="O13" s="58">
        <f>O12*O9</f>
        <v/>
      </c>
      <c r="P13" s="58">
        <f>P12*P9</f>
        <v/>
      </c>
      <c r="Q13" s="58">
        <f>Q12*Q9</f>
        <v/>
      </c>
      <c r="R13" s="58">
        <f>R12*R9</f>
        <v/>
      </c>
      <c r="S13" s="58">
        <f>S12*S9</f>
        <v/>
      </c>
      <c r="T13" s="58">
        <f>T12*T9</f>
        <v/>
      </c>
      <c r="U13" s="58">
        <f>U12*U9</f>
        <v/>
      </c>
      <c r="V13" s="58">
        <f>V12*V9</f>
        <v/>
      </c>
      <c r="W13" s="58">
        <f>W12*W9</f>
        <v/>
      </c>
      <c r="X13" s="58">
        <f>X12*X9</f>
        <v/>
      </c>
      <c r="Y13" s="58">
        <f>Y12*Y9</f>
        <v/>
      </c>
      <c r="Z13" s="58">
        <f>Z12*Z9</f>
        <v/>
      </c>
      <c r="AA13" s="58">
        <f>AA12*AA9</f>
        <v/>
      </c>
      <c r="AB13" s="58">
        <f>AB12*AB9</f>
        <v/>
      </c>
      <c r="AC13" s="58">
        <f>AC12*AC9</f>
        <v/>
      </c>
      <c r="AD13" s="58">
        <f>AD12*AD9</f>
        <v/>
      </c>
      <c r="AE13" s="58">
        <f>AE12*AE9</f>
        <v/>
      </c>
      <c r="AF13" s="58">
        <f>AF12*AF9</f>
        <v/>
      </c>
      <c r="AG13" s="58">
        <f>AG12*AG9</f>
        <v/>
      </c>
      <c r="AH13" s="58">
        <f>AH12*AH9</f>
        <v/>
      </c>
      <c r="AI13" s="58">
        <f>AI12*AI9</f>
        <v/>
      </c>
      <c r="AJ13" s="58">
        <f>AJ12*AJ9</f>
        <v/>
      </c>
      <c r="AK13" s="58">
        <f>AK12*AK9</f>
        <v/>
      </c>
      <c r="AL13" s="58">
        <f>AL12*AL9</f>
        <v/>
      </c>
      <c r="AM13" s="58">
        <f>SUM(C13:N13)</f>
        <v/>
      </c>
      <c r="AN13" s="58">
        <f>SUM(O13:Z13)</f>
        <v/>
      </c>
      <c r="AO13" s="58">
        <f>SUM(AA13:AL13)</f>
        <v/>
      </c>
      <c r="AP13" s="58">
        <f>SUM(AM13:AO13)</f>
        <v/>
      </c>
    </row>
    <row r="14">
      <c r="A14" s="6" t="inlineStr">
        <is>
          <t>Ítems vendidos</t>
        </is>
      </c>
      <c r="B14" s="24" t="inlineStr">
        <is>
          <t>ítems</t>
        </is>
      </c>
      <c r="C14" s="58">
        <f>C13*ItemsPerTicket</f>
        <v/>
      </c>
      <c r="D14" s="58">
        <f>D13*ItemsPerTicket</f>
        <v/>
      </c>
      <c r="E14" s="58">
        <f>E13*ItemsPerTicket</f>
        <v/>
      </c>
      <c r="F14" s="58">
        <f>F13*ItemsPerTicket</f>
        <v/>
      </c>
      <c r="G14" s="58">
        <f>G13*ItemsPerTicket</f>
        <v/>
      </c>
      <c r="H14" s="58">
        <f>H13*ItemsPerTicket</f>
        <v/>
      </c>
      <c r="I14" s="58">
        <f>I13*ItemsPerTicket</f>
        <v/>
      </c>
      <c r="J14" s="58">
        <f>J13*ItemsPerTicket</f>
        <v/>
      </c>
      <c r="K14" s="58">
        <f>K13*ItemsPerTicket</f>
        <v/>
      </c>
      <c r="L14" s="58">
        <f>L13*ItemsPerTicket</f>
        <v/>
      </c>
      <c r="M14" s="58">
        <f>M13*ItemsPerTicket</f>
        <v/>
      </c>
      <c r="N14" s="58">
        <f>N13*ItemsPerTicket</f>
        <v/>
      </c>
      <c r="O14" s="58">
        <f>O13*ItemsPerTicket</f>
        <v/>
      </c>
      <c r="P14" s="58">
        <f>P13*ItemsPerTicket</f>
        <v/>
      </c>
      <c r="Q14" s="58">
        <f>Q13*ItemsPerTicket</f>
        <v/>
      </c>
      <c r="R14" s="58">
        <f>R13*ItemsPerTicket</f>
        <v/>
      </c>
      <c r="S14" s="58">
        <f>S13*ItemsPerTicket</f>
        <v/>
      </c>
      <c r="T14" s="58">
        <f>T13*ItemsPerTicket</f>
        <v/>
      </c>
      <c r="U14" s="58">
        <f>U13*ItemsPerTicket</f>
        <v/>
      </c>
      <c r="V14" s="58">
        <f>V13*ItemsPerTicket</f>
        <v/>
      </c>
      <c r="W14" s="58">
        <f>W13*ItemsPerTicket</f>
        <v/>
      </c>
      <c r="X14" s="58">
        <f>X13*ItemsPerTicket</f>
        <v/>
      </c>
      <c r="Y14" s="58">
        <f>Y13*ItemsPerTicket</f>
        <v/>
      </c>
      <c r="Z14" s="58">
        <f>Z13*ItemsPerTicket</f>
        <v/>
      </c>
      <c r="AA14" s="58">
        <f>AA13*ItemsPerTicket</f>
        <v/>
      </c>
      <c r="AB14" s="58">
        <f>AB13*ItemsPerTicket</f>
        <v/>
      </c>
      <c r="AC14" s="58">
        <f>AC13*ItemsPerTicket</f>
        <v/>
      </c>
      <c r="AD14" s="58">
        <f>AD13*ItemsPerTicket</f>
        <v/>
      </c>
      <c r="AE14" s="58">
        <f>AE13*ItemsPerTicket</f>
        <v/>
      </c>
      <c r="AF14" s="58">
        <f>AF13*ItemsPerTicket</f>
        <v/>
      </c>
      <c r="AG14" s="58">
        <f>AG13*ItemsPerTicket</f>
        <v/>
      </c>
      <c r="AH14" s="58">
        <f>AH13*ItemsPerTicket</f>
        <v/>
      </c>
      <c r="AI14" s="58">
        <f>AI13*ItemsPerTicket</f>
        <v/>
      </c>
      <c r="AJ14" s="58">
        <f>AJ13*ItemsPerTicket</f>
        <v/>
      </c>
      <c r="AK14" s="58">
        <f>AK13*ItemsPerTicket</f>
        <v/>
      </c>
      <c r="AL14" s="58">
        <f>AL13*ItemsPerTicket</f>
        <v/>
      </c>
      <c r="AM14" s="58">
        <f>SUM(C14:N14)</f>
        <v/>
      </c>
      <c r="AN14" s="58">
        <f>SUM(O14:Z14)</f>
        <v/>
      </c>
      <c r="AO14" s="58">
        <f>SUM(AA14:AL14)</f>
        <v/>
      </c>
      <c r="AP14" s="58">
        <f>SUM(AM14:AO14)</f>
        <v/>
      </c>
    </row>
    <row r="15">
      <c r="A15" s="6" t="inlineStr">
        <is>
          <t>Ingresos netos</t>
        </is>
      </c>
      <c r="B15" s="24" t="inlineStr">
        <is>
          <t>€</t>
        </is>
      </c>
      <c r="C15" s="59">
        <f>C14*WeightedNetPrice*(1+INDEX(ScenarioMatrix,3,$B$3))^(1-1)</f>
        <v/>
      </c>
      <c r="D15" s="59">
        <f>D14*WeightedNetPrice*(1+INDEX(ScenarioMatrix,3,$B$3))^(1-1)</f>
        <v/>
      </c>
      <c r="E15" s="59">
        <f>E14*WeightedNetPrice*(1+INDEX(ScenarioMatrix,3,$B$3))^(1-1)</f>
        <v/>
      </c>
      <c r="F15" s="59">
        <f>F14*WeightedNetPrice*(1+INDEX(ScenarioMatrix,3,$B$3))^(1-1)</f>
        <v/>
      </c>
      <c r="G15" s="59">
        <f>G14*WeightedNetPrice*(1+INDEX(ScenarioMatrix,3,$B$3))^(1-1)</f>
        <v/>
      </c>
      <c r="H15" s="59">
        <f>H14*WeightedNetPrice*(1+INDEX(ScenarioMatrix,3,$B$3))^(1-1)</f>
        <v/>
      </c>
      <c r="I15" s="59">
        <f>I14*WeightedNetPrice*(1+INDEX(ScenarioMatrix,3,$B$3))^(1-1)</f>
        <v/>
      </c>
      <c r="J15" s="59">
        <f>J14*WeightedNetPrice*(1+INDEX(ScenarioMatrix,3,$B$3))^(1-1)</f>
        <v/>
      </c>
      <c r="K15" s="59">
        <f>K14*WeightedNetPrice*(1+INDEX(ScenarioMatrix,3,$B$3))^(1-1)</f>
        <v/>
      </c>
      <c r="L15" s="59">
        <f>L14*WeightedNetPrice*(1+INDEX(ScenarioMatrix,3,$B$3))^(1-1)</f>
        <v/>
      </c>
      <c r="M15" s="59">
        <f>M14*WeightedNetPrice*(1+INDEX(ScenarioMatrix,3,$B$3))^(1-1)</f>
        <v/>
      </c>
      <c r="N15" s="59">
        <f>N14*WeightedNetPrice*(1+INDEX(ScenarioMatrix,3,$B$3))^(1-1)</f>
        <v/>
      </c>
      <c r="O15" s="59">
        <f>O14*WeightedNetPrice*(1+INDEX(ScenarioMatrix,3,$B$3))^(2-1)</f>
        <v/>
      </c>
      <c r="P15" s="59">
        <f>P14*WeightedNetPrice*(1+INDEX(ScenarioMatrix,3,$B$3))^(2-1)</f>
        <v/>
      </c>
      <c r="Q15" s="59">
        <f>Q14*WeightedNetPrice*(1+INDEX(ScenarioMatrix,3,$B$3))^(2-1)</f>
        <v/>
      </c>
      <c r="R15" s="59">
        <f>R14*WeightedNetPrice*(1+INDEX(ScenarioMatrix,3,$B$3))^(2-1)</f>
        <v/>
      </c>
      <c r="S15" s="59">
        <f>S14*WeightedNetPrice*(1+INDEX(ScenarioMatrix,3,$B$3))^(2-1)</f>
        <v/>
      </c>
      <c r="T15" s="59">
        <f>T14*WeightedNetPrice*(1+INDEX(ScenarioMatrix,3,$B$3))^(2-1)</f>
        <v/>
      </c>
      <c r="U15" s="59">
        <f>U14*WeightedNetPrice*(1+INDEX(ScenarioMatrix,3,$B$3))^(2-1)</f>
        <v/>
      </c>
      <c r="V15" s="59">
        <f>V14*WeightedNetPrice*(1+INDEX(ScenarioMatrix,3,$B$3))^(2-1)</f>
        <v/>
      </c>
      <c r="W15" s="59">
        <f>W14*WeightedNetPrice*(1+INDEX(ScenarioMatrix,3,$B$3))^(2-1)</f>
        <v/>
      </c>
      <c r="X15" s="59">
        <f>X14*WeightedNetPrice*(1+INDEX(ScenarioMatrix,3,$B$3))^(2-1)</f>
        <v/>
      </c>
      <c r="Y15" s="59">
        <f>Y14*WeightedNetPrice*(1+INDEX(ScenarioMatrix,3,$B$3))^(2-1)</f>
        <v/>
      </c>
      <c r="Z15" s="59">
        <f>Z14*WeightedNetPrice*(1+INDEX(ScenarioMatrix,3,$B$3))^(2-1)</f>
        <v/>
      </c>
      <c r="AA15" s="59">
        <f>AA14*WeightedNetPrice*(1+INDEX(ScenarioMatrix,3,$B$3))^(3-1)</f>
        <v/>
      </c>
      <c r="AB15" s="59">
        <f>AB14*WeightedNetPrice*(1+INDEX(ScenarioMatrix,3,$B$3))^(3-1)</f>
        <v/>
      </c>
      <c r="AC15" s="59">
        <f>AC14*WeightedNetPrice*(1+INDEX(ScenarioMatrix,3,$B$3))^(3-1)</f>
        <v/>
      </c>
      <c r="AD15" s="59">
        <f>AD14*WeightedNetPrice*(1+INDEX(ScenarioMatrix,3,$B$3))^(3-1)</f>
        <v/>
      </c>
      <c r="AE15" s="59">
        <f>AE14*WeightedNetPrice*(1+INDEX(ScenarioMatrix,3,$B$3))^(3-1)</f>
        <v/>
      </c>
      <c r="AF15" s="59">
        <f>AF14*WeightedNetPrice*(1+INDEX(ScenarioMatrix,3,$B$3))^(3-1)</f>
        <v/>
      </c>
      <c r="AG15" s="59">
        <f>AG14*WeightedNetPrice*(1+INDEX(ScenarioMatrix,3,$B$3))^(3-1)</f>
        <v/>
      </c>
      <c r="AH15" s="59">
        <f>AH14*WeightedNetPrice*(1+INDEX(ScenarioMatrix,3,$B$3))^(3-1)</f>
        <v/>
      </c>
      <c r="AI15" s="59">
        <f>AI14*WeightedNetPrice*(1+INDEX(ScenarioMatrix,3,$B$3))^(3-1)</f>
        <v/>
      </c>
      <c r="AJ15" s="59">
        <f>AJ14*WeightedNetPrice*(1+INDEX(ScenarioMatrix,3,$B$3))^(3-1)</f>
        <v/>
      </c>
      <c r="AK15" s="59">
        <f>AK14*WeightedNetPrice*(1+INDEX(ScenarioMatrix,3,$B$3))^(3-1)</f>
        <v/>
      </c>
      <c r="AL15" s="59">
        <f>AL14*WeightedNetPrice*(1+INDEX(ScenarioMatrix,3,$B$3))^(3-1)</f>
        <v/>
      </c>
      <c r="AM15" s="59">
        <f>SUM(C15:N15)</f>
        <v/>
      </c>
      <c r="AN15" s="59">
        <f>SUM(O15:Z15)</f>
        <v/>
      </c>
      <c r="AO15" s="59">
        <f>SUM(AA15:AL15)</f>
        <v/>
      </c>
      <c r="AP15" s="59">
        <f>SUM(AM15:AO15)</f>
        <v/>
      </c>
    </row>
    <row r="16">
      <c r="A16" s="6" t="inlineStr">
        <is>
          <t>COGS</t>
        </is>
      </c>
      <c r="B16" s="24" t="inlineStr">
        <is>
          <t>€</t>
        </is>
      </c>
      <c r="C16" s="60">
        <f>C14*WeightedCostAdj*(1+INDEX(ScenarioMatrix,4,$B$3))^(1-1)</f>
        <v/>
      </c>
      <c r="D16" s="60">
        <f>D14*WeightedCostAdj*(1+INDEX(ScenarioMatrix,4,$B$3))^(1-1)</f>
        <v/>
      </c>
      <c r="E16" s="60">
        <f>E14*WeightedCostAdj*(1+INDEX(ScenarioMatrix,4,$B$3))^(1-1)</f>
        <v/>
      </c>
      <c r="F16" s="60">
        <f>F14*WeightedCostAdj*(1+INDEX(ScenarioMatrix,4,$B$3))^(1-1)</f>
        <v/>
      </c>
      <c r="G16" s="60">
        <f>G14*WeightedCostAdj*(1+INDEX(ScenarioMatrix,4,$B$3))^(1-1)</f>
        <v/>
      </c>
      <c r="H16" s="60">
        <f>H14*WeightedCostAdj*(1+INDEX(ScenarioMatrix,4,$B$3))^(1-1)</f>
        <v/>
      </c>
      <c r="I16" s="60">
        <f>I14*WeightedCostAdj*(1+INDEX(ScenarioMatrix,4,$B$3))^(1-1)</f>
        <v/>
      </c>
      <c r="J16" s="60">
        <f>J14*WeightedCostAdj*(1+INDEX(ScenarioMatrix,4,$B$3))^(1-1)</f>
        <v/>
      </c>
      <c r="K16" s="60">
        <f>K14*WeightedCostAdj*(1+INDEX(ScenarioMatrix,4,$B$3))^(1-1)</f>
        <v/>
      </c>
      <c r="L16" s="60">
        <f>L14*WeightedCostAdj*(1+INDEX(ScenarioMatrix,4,$B$3))^(1-1)</f>
        <v/>
      </c>
      <c r="M16" s="60">
        <f>M14*WeightedCostAdj*(1+INDEX(ScenarioMatrix,4,$B$3))^(1-1)</f>
        <v/>
      </c>
      <c r="N16" s="60">
        <f>N14*WeightedCostAdj*(1+INDEX(ScenarioMatrix,4,$B$3))^(1-1)</f>
        <v/>
      </c>
      <c r="O16" s="60">
        <f>O14*WeightedCostAdj*(1+INDEX(ScenarioMatrix,4,$B$3))^(2-1)</f>
        <v/>
      </c>
      <c r="P16" s="60">
        <f>P14*WeightedCostAdj*(1+INDEX(ScenarioMatrix,4,$B$3))^(2-1)</f>
        <v/>
      </c>
      <c r="Q16" s="60">
        <f>Q14*WeightedCostAdj*(1+INDEX(ScenarioMatrix,4,$B$3))^(2-1)</f>
        <v/>
      </c>
      <c r="R16" s="60">
        <f>R14*WeightedCostAdj*(1+INDEX(ScenarioMatrix,4,$B$3))^(2-1)</f>
        <v/>
      </c>
      <c r="S16" s="60">
        <f>S14*WeightedCostAdj*(1+INDEX(ScenarioMatrix,4,$B$3))^(2-1)</f>
        <v/>
      </c>
      <c r="T16" s="60">
        <f>T14*WeightedCostAdj*(1+INDEX(ScenarioMatrix,4,$B$3))^(2-1)</f>
        <v/>
      </c>
      <c r="U16" s="60">
        <f>U14*WeightedCostAdj*(1+INDEX(ScenarioMatrix,4,$B$3))^(2-1)</f>
        <v/>
      </c>
      <c r="V16" s="60">
        <f>V14*WeightedCostAdj*(1+INDEX(ScenarioMatrix,4,$B$3))^(2-1)</f>
        <v/>
      </c>
      <c r="W16" s="60">
        <f>W14*WeightedCostAdj*(1+INDEX(ScenarioMatrix,4,$B$3))^(2-1)</f>
        <v/>
      </c>
      <c r="X16" s="60">
        <f>X14*WeightedCostAdj*(1+INDEX(ScenarioMatrix,4,$B$3))^(2-1)</f>
        <v/>
      </c>
      <c r="Y16" s="60">
        <f>Y14*WeightedCostAdj*(1+INDEX(ScenarioMatrix,4,$B$3))^(2-1)</f>
        <v/>
      </c>
      <c r="Z16" s="60">
        <f>Z14*WeightedCostAdj*(1+INDEX(ScenarioMatrix,4,$B$3))^(2-1)</f>
        <v/>
      </c>
      <c r="AA16" s="60">
        <f>AA14*WeightedCostAdj*(1+INDEX(ScenarioMatrix,4,$B$3))^(3-1)</f>
        <v/>
      </c>
      <c r="AB16" s="60">
        <f>AB14*WeightedCostAdj*(1+INDEX(ScenarioMatrix,4,$B$3))^(3-1)</f>
        <v/>
      </c>
      <c r="AC16" s="60">
        <f>AC14*WeightedCostAdj*(1+INDEX(ScenarioMatrix,4,$B$3))^(3-1)</f>
        <v/>
      </c>
      <c r="AD16" s="60">
        <f>AD14*WeightedCostAdj*(1+INDEX(ScenarioMatrix,4,$B$3))^(3-1)</f>
        <v/>
      </c>
      <c r="AE16" s="60">
        <f>AE14*WeightedCostAdj*(1+INDEX(ScenarioMatrix,4,$B$3))^(3-1)</f>
        <v/>
      </c>
      <c r="AF16" s="60">
        <f>AF14*WeightedCostAdj*(1+INDEX(ScenarioMatrix,4,$B$3))^(3-1)</f>
        <v/>
      </c>
      <c r="AG16" s="60">
        <f>AG14*WeightedCostAdj*(1+INDEX(ScenarioMatrix,4,$B$3))^(3-1)</f>
        <v/>
      </c>
      <c r="AH16" s="60">
        <f>AH14*WeightedCostAdj*(1+INDEX(ScenarioMatrix,4,$B$3))^(3-1)</f>
        <v/>
      </c>
      <c r="AI16" s="60">
        <f>AI14*WeightedCostAdj*(1+INDEX(ScenarioMatrix,4,$B$3))^(3-1)</f>
        <v/>
      </c>
      <c r="AJ16" s="60">
        <f>AJ14*WeightedCostAdj*(1+INDEX(ScenarioMatrix,4,$B$3))^(3-1)</f>
        <v/>
      </c>
      <c r="AK16" s="60">
        <f>AK14*WeightedCostAdj*(1+INDEX(ScenarioMatrix,4,$B$3))^(3-1)</f>
        <v/>
      </c>
      <c r="AL16" s="60">
        <f>AL14*WeightedCostAdj*(1+INDEX(ScenarioMatrix,4,$B$3))^(3-1)</f>
        <v/>
      </c>
      <c r="AM16" s="60">
        <f>SUM(C16:N16)</f>
        <v/>
      </c>
      <c r="AN16" s="60">
        <f>SUM(O16:Z16)</f>
        <v/>
      </c>
      <c r="AO16" s="60">
        <f>SUM(AA16:AL16)</f>
        <v/>
      </c>
      <c r="AP16" s="60">
        <f>SUM(AM16:AO16)</f>
        <v/>
      </c>
    </row>
    <row r="17">
      <c r="A17" s="6" t="inlineStr">
        <is>
          <t>Margen bruto</t>
        </is>
      </c>
      <c r="B17" s="24" t="inlineStr">
        <is>
          <t>€</t>
        </is>
      </c>
      <c r="C17" s="59">
        <f>C15-C16</f>
        <v/>
      </c>
      <c r="D17" s="59">
        <f>D15-D16</f>
        <v/>
      </c>
      <c r="E17" s="59">
        <f>E15-E16</f>
        <v/>
      </c>
      <c r="F17" s="59">
        <f>F15-F16</f>
        <v/>
      </c>
      <c r="G17" s="59">
        <f>G15-G16</f>
        <v/>
      </c>
      <c r="H17" s="59">
        <f>H15-H16</f>
        <v/>
      </c>
      <c r="I17" s="59">
        <f>I15-I16</f>
        <v/>
      </c>
      <c r="J17" s="59">
        <f>J15-J16</f>
        <v/>
      </c>
      <c r="K17" s="59">
        <f>K15-K16</f>
        <v/>
      </c>
      <c r="L17" s="59">
        <f>L15-L16</f>
        <v/>
      </c>
      <c r="M17" s="59">
        <f>M15-M16</f>
        <v/>
      </c>
      <c r="N17" s="59">
        <f>N15-N16</f>
        <v/>
      </c>
      <c r="O17" s="59">
        <f>O15-O16</f>
        <v/>
      </c>
      <c r="P17" s="59">
        <f>P15-P16</f>
        <v/>
      </c>
      <c r="Q17" s="59">
        <f>Q15-Q16</f>
        <v/>
      </c>
      <c r="R17" s="59">
        <f>R15-R16</f>
        <v/>
      </c>
      <c r="S17" s="59">
        <f>S15-S16</f>
        <v/>
      </c>
      <c r="T17" s="59">
        <f>T15-T16</f>
        <v/>
      </c>
      <c r="U17" s="59">
        <f>U15-U16</f>
        <v/>
      </c>
      <c r="V17" s="59">
        <f>V15-V16</f>
        <v/>
      </c>
      <c r="W17" s="59">
        <f>W15-W16</f>
        <v/>
      </c>
      <c r="X17" s="59">
        <f>X15-X16</f>
        <v/>
      </c>
      <c r="Y17" s="59">
        <f>Y15-Y16</f>
        <v/>
      </c>
      <c r="Z17" s="59">
        <f>Z15-Z16</f>
        <v/>
      </c>
      <c r="AA17" s="59">
        <f>AA15-AA16</f>
        <v/>
      </c>
      <c r="AB17" s="59">
        <f>AB15-AB16</f>
        <v/>
      </c>
      <c r="AC17" s="59">
        <f>AC15-AC16</f>
        <v/>
      </c>
      <c r="AD17" s="59">
        <f>AD15-AD16</f>
        <v/>
      </c>
      <c r="AE17" s="59">
        <f>AE15-AE16</f>
        <v/>
      </c>
      <c r="AF17" s="59">
        <f>AF15-AF16</f>
        <v/>
      </c>
      <c r="AG17" s="59">
        <f>AG15-AG16</f>
        <v/>
      </c>
      <c r="AH17" s="59">
        <f>AH15-AH16</f>
        <v/>
      </c>
      <c r="AI17" s="59">
        <f>AI15-AI16</f>
        <v/>
      </c>
      <c r="AJ17" s="59">
        <f>AJ15-AJ16</f>
        <v/>
      </c>
      <c r="AK17" s="59">
        <f>AK15-AK16</f>
        <v/>
      </c>
      <c r="AL17" s="59">
        <f>AL15-AL16</f>
        <v/>
      </c>
      <c r="AM17" s="59">
        <f>SUM(C17:N17)</f>
        <v/>
      </c>
      <c r="AN17" s="59">
        <f>SUM(O17:Z17)</f>
        <v/>
      </c>
      <c r="AO17" s="59">
        <f>SUM(AA17:AL17)</f>
        <v/>
      </c>
      <c r="AP17" s="59">
        <f>SUM(AM17:AO17)</f>
        <v/>
      </c>
    </row>
    <row r="18">
      <c r="A18" s="6" t="inlineStr">
        <is>
          <t>Personal</t>
        </is>
      </c>
      <c r="B18" s="24" t="inlineStr">
        <is>
          <t>€</t>
        </is>
      </c>
      <c r="C18" s="60">
        <f>INDEX(StaffCostByYear,1,C7)*INDEX(ScenarioMatrix,5,$B$3)/12</f>
        <v/>
      </c>
      <c r="D18" s="60">
        <f>INDEX(StaffCostByYear,1,D7)*INDEX(ScenarioMatrix,5,$B$3)/12</f>
        <v/>
      </c>
      <c r="E18" s="60">
        <f>INDEX(StaffCostByYear,1,E7)*INDEX(ScenarioMatrix,5,$B$3)/12</f>
        <v/>
      </c>
      <c r="F18" s="60">
        <f>INDEX(StaffCostByYear,1,F7)*INDEX(ScenarioMatrix,5,$B$3)/12</f>
        <v/>
      </c>
      <c r="G18" s="60">
        <f>INDEX(StaffCostByYear,1,G7)*INDEX(ScenarioMatrix,5,$B$3)/12</f>
        <v/>
      </c>
      <c r="H18" s="60">
        <f>INDEX(StaffCostByYear,1,H7)*INDEX(ScenarioMatrix,5,$B$3)/12</f>
        <v/>
      </c>
      <c r="I18" s="60">
        <f>INDEX(StaffCostByYear,1,I7)*INDEX(ScenarioMatrix,5,$B$3)/12</f>
        <v/>
      </c>
      <c r="J18" s="60">
        <f>INDEX(StaffCostByYear,1,J7)*INDEX(ScenarioMatrix,5,$B$3)/12</f>
        <v/>
      </c>
      <c r="K18" s="60">
        <f>INDEX(StaffCostByYear,1,K7)*INDEX(ScenarioMatrix,5,$B$3)/12</f>
        <v/>
      </c>
      <c r="L18" s="60">
        <f>INDEX(StaffCostByYear,1,L7)*INDEX(ScenarioMatrix,5,$B$3)/12</f>
        <v/>
      </c>
      <c r="M18" s="60">
        <f>INDEX(StaffCostByYear,1,M7)*INDEX(ScenarioMatrix,5,$B$3)/12</f>
        <v/>
      </c>
      <c r="N18" s="60">
        <f>INDEX(StaffCostByYear,1,N7)*INDEX(ScenarioMatrix,5,$B$3)/12</f>
        <v/>
      </c>
      <c r="O18" s="60">
        <f>INDEX(StaffCostByYear,1,O7)*INDEX(ScenarioMatrix,5,$B$3)/12</f>
        <v/>
      </c>
      <c r="P18" s="60">
        <f>INDEX(StaffCostByYear,1,P7)*INDEX(ScenarioMatrix,5,$B$3)/12</f>
        <v/>
      </c>
      <c r="Q18" s="60">
        <f>INDEX(StaffCostByYear,1,Q7)*INDEX(ScenarioMatrix,5,$B$3)/12</f>
        <v/>
      </c>
      <c r="R18" s="60">
        <f>INDEX(StaffCostByYear,1,R7)*INDEX(ScenarioMatrix,5,$B$3)/12</f>
        <v/>
      </c>
      <c r="S18" s="60">
        <f>INDEX(StaffCostByYear,1,S7)*INDEX(ScenarioMatrix,5,$B$3)/12</f>
        <v/>
      </c>
      <c r="T18" s="60">
        <f>INDEX(StaffCostByYear,1,T7)*INDEX(ScenarioMatrix,5,$B$3)/12</f>
        <v/>
      </c>
      <c r="U18" s="60">
        <f>INDEX(StaffCostByYear,1,U7)*INDEX(ScenarioMatrix,5,$B$3)/12</f>
        <v/>
      </c>
      <c r="V18" s="60">
        <f>INDEX(StaffCostByYear,1,V7)*INDEX(ScenarioMatrix,5,$B$3)/12</f>
        <v/>
      </c>
      <c r="W18" s="60">
        <f>INDEX(StaffCostByYear,1,W7)*INDEX(ScenarioMatrix,5,$B$3)/12</f>
        <v/>
      </c>
      <c r="X18" s="60">
        <f>INDEX(StaffCostByYear,1,X7)*INDEX(ScenarioMatrix,5,$B$3)/12</f>
        <v/>
      </c>
      <c r="Y18" s="60">
        <f>INDEX(StaffCostByYear,1,Y7)*INDEX(ScenarioMatrix,5,$B$3)/12</f>
        <v/>
      </c>
      <c r="Z18" s="60">
        <f>INDEX(StaffCostByYear,1,Z7)*INDEX(ScenarioMatrix,5,$B$3)/12</f>
        <v/>
      </c>
      <c r="AA18" s="60">
        <f>INDEX(StaffCostByYear,1,AA7)*INDEX(ScenarioMatrix,5,$B$3)/12</f>
        <v/>
      </c>
      <c r="AB18" s="60">
        <f>INDEX(StaffCostByYear,1,AB7)*INDEX(ScenarioMatrix,5,$B$3)/12</f>
        <v/>
      </c>
      <c r="AC18" s="60">
        <f>INDEX(StaffCostByYear,1,AC7)*INDEX(ScenarioMatrix,5,$B$3)/12</f>
        <v/>
      </c>
      <c r="AD18" s="60">
        <f>INDEX(StaffCostByYear,1,AD7)*INDEX(ScenarioMatrix,5,$B$3)/12</f>
        <v/>
      </c>
      <c r="AE18" s="60">
        <f>INDEX(StaffCostByYear,1,AE7)*INDEX(ScenarioMatrix,5,$B$3)/12</f>
        <v/>
      </c>
      <c r="AF18" s="60">
        <f>INDEX(StaffCostByYear,1,AF7)*INDEX(ScenarioMatrix,5,$B$3)/12</f>
        <v/>
      </c>
      <c r="AG18" s="60">
        <f>INDEX(StaffCostByYear,1,AG7)*INDEX(ScenarioMatrix,5,$B$3)/12</f>
        <v/>
      </c>
      <c r="AH18" s="60">
        <f>INDEX(StaffCostByYear,1,AH7)*INDEX(ScenarioMatrix,5,$B$3)/12</f>
        <v/>
      </c>
      <c r="AI18" s="60">
        <f>INDEX(StaffCostByYear,1,AI7)*INDEX(ScenarioMatrix,5,$B$3)/12</f>
        <v/>
      </c>
      <c r="AJ18" s="60">
        <f>INDEX(StaffCostByYear,1,AJ7)*INDEX(ScenarioMatrix,5,$B$3)/12</f>
        <v/>
      </c>
      <c r="AK18" s="60">
        <f>INDEX(StaffCostByYear,1,AK7)*INDEX(ScenarioMatrix,5,$B$3)/12</f>
        <v/>
      </c>
      <c r="AL18" s="60">
        <f>INDEX(StaffCostByYear,1,AL7)*INDEX(ScenarioMatrix,5,$B$3)/12</f>
        <v/>
      </c>
      <c r="AM18" s="60">
        <f>SUM(C18:N18)</f>
        <v/>
      </c>
      <c r="AN18" s="60">
        <f>SUM(O18:Z18)</f>
        <v/>
      </c>
      <c r="AO18" s="60">
        <f>SUM(AA18:AL18)</f>
        <v/>
      </c>
      <c r="AP18" s="60">
        <f>SUM(AM18:AO18)</f>
        <v/>
      </c>
    </row>
    <row r="19">
      <c r="A19" s="6" t="inlineStr">
        <is>
          <t>Alquiler</t>
        </is>
      </c>
      <c r="B19" s="24" t="inlineStr">
        <is>
          <t>€</t>
        </is>
      </c>
      <c r="C19" s="60">
        <f>RentMonth*INDEX(ScenarioMatrix,6,$B$3)*(1+RentGrowth)^(C7-1)</f>
        <v/>
      </c>
      <c r="D19" s="60">
        <f>RentMonth*INDEX(ScenarioMatrix,6,$B$3)*(1+RentGrowth)^(D7-1)</f>
        <v/>
      </c>
      <c r="E19" s="60">
        <f>RentMonth*INDEX(ScenarioMatrix,6,$B$3)*(1+RentGrowth)^(E7-1)</f>
        <v/>
      </c>
      <c r="F19" s="60">
        <f>RentMonth*INDEX(ScenarioMatrix,6,$B$3)*(1+RentGrowth)^(F7-1)</f>
        <v/>
      </c>
      <c r="G19" s="60">
        <f>RentMonth*INDEX(ScenarioMatrix,6,$B$3)*(1+RentGrowth)^(G7-1)</f>
        <v/>
      </c>
      <c r="H19" s="60">
        <f>RentMonth*INDEX(ScenarioMatrix,6,$B$3)*(1+RentGrowth)^(H7-1)</f>
        <v/>
      </c>
      <c r="I19" s="60">
        <f>RentMonth*INDEX(ScenarioMatrix,6,$B$3)*(1+RentGrowth)^(I7-1)</f>
        <v/>
      </c>
      <c r="J19" s="60">
        <f>RentMonth*INDEX(ScenarioMatrix,6,$B$3)*(1+RentGrowth)^(J7-1)</f>
        <v/>
      </c>
      <c r="K19" s="60">
        <f>RentMonth*INDEX(ScenarioMatrix,6,$B$3)*(1+RentGrowth)^(K7-1)</f>
        <v/>
      </c>
      <c r="L19" s="60">
        <f>RentMonth*INDEX(ScenarioMatrix,6,$B$3)*(1+RentGrowth)^(L7-1)</f>
        <v/>
      </c>
      <c r="M19" s="60">
        <f>RentMonth*INDEX(ScenarioMatrix,6,$B$3)*(1+RentGrowth)^(M7-1)</f>
        <v/>
      </c>
      <c r="N19" s="60">
        <f>RentMonth*INDEX(ScenarioMatrix,6,$B$3)*(1+RentGrowth)^(N7-1)</f>
        <v/>
      </c>
      <c r="O19" s="60">
        <f>RentMonth*INDEX(ScenarioMatrix,6,$B$3)*(1+RentGrowth)^(O7-1)</f>
        <v/>
      </c>
      <c r="P19" s="60">
        <f>RentMonth*INDEX(ScenarioMatrix,6,$B$3)*(1+RentGrowth)^(P7-1)</f>
        <v/>
      </c>
      <c r="Q19" s="60">
        <f>RentMonth*INDEX(ScenarioMatrix,6,$B$3)*(1+RentGrowth)^(Q7-1)</f>
        <v/>
      </c>
      <c r="R19" s="60">
        <f>RentMonth*INDEX(ScenarioMatrix,6,$B$3)*(1+RentGrowth)^(R7-1)</f>
        <v/>
      </c>
      <c r="S19" s="60">
        <f>RentMonth*INDEX(ScenarioMatrix,6,$B$3)*(1+RentGrowth)^(S7-1)</f>
        <v/>
      </c>
      <c r="T19" s="60">
        <f>RentMonth*INDEX(ScenarioMatrix,6,$B$3)*(1+RentGrowth)^(T7-1)</f>
        <v/>
      </c>
      <c r="U19" s="60">
        <f>RentMonth*INDEX(ScenarioMatrix,6,$B$3)*(1+RentGrowth)^(U7-1)</f>
        <v/>
      </c>
      <c r="V19" s="60">
        <f>RentMonth*INDEX(ScenarioMatrix,6,$B$3)*(1+RentGrowth)^(V7-1)</f>
        <v/>
      </c>
      <c r="W19" s="60">
        <f>RentMonth*INDEX(ScenarioMatrix,6,$B$3)*(1+RentGrowth)^(W7-1)</f>
        <v/>
      </c>
      <c r="X19" s="60">
        <f>RentMonth*INDEX(ScenarioMatrix,6,$B$3)*(1+RentGrowth)^(X7-1)</f>
        <v/>
      </c>
      <c r="Y19" s="60">
        <f>RentMonth*INDEX(ScenarioMatrix,6,$B$3)*(1+RentGrowth)^(Y7-1)</f>
        <v/>
      </c>
      <c r="Z19" s="60">
        <f>RentMonth*INDEX(ScenarioMatrix,6,$B$3)*(1+RentGrowth)^(Z7-1)</f>
        <v/>
      </c>
      <c r="AA19" s="60">
        <f>RentMonth*INDEX(ScenarioMatrix,6,$B$3)*(1+RentGrowth)^(AA7-1)</f>
        <v/>
      </c>
      <c r="AB19" s="60">
        <f>RentMonth*INDEX(ScenarioMatrix,6,$B$3)*(1+RentGrowth)^(AB7-1)</f>
        <v/>
      </c>
      <c r="AC19" s="60">
        <f>RentMonth*INDEX(ScenarioMatrix,6,$B$3)*(1+RentGrowth)^(AC7-1)</f>
        <v/>
      </c>
      <c r="AD19" s="60">
        <f>RentMonth*INDEX(ScenarioMatrix,6,$B$3)*(1+RentGrowth)^(AD7-1)</f>
        <v/>
      </c>
      <c r="AE19" s="60">
        <f>RentMonth*INDEX(ScenarioMatrix,6,$B$3)*(1+RentGrowth)^(AE7-1)</f>
        <v/>
      </c>
      <c r="AF19" s="60">
        <f>RentMonth*INDEX(ScenarioMatrix,6,$B$3)*(1+RentGrowth)^(AF7-1)</f>
        <v/>
      </c>
      <c r="AG19" s="60">
        <f>RentMonth*INDEX(ScenarioMatrix,6,$B$3)*(1+RentGrowth)^(AG7-1)</f>
        <v/>
      </c>
      <c r="AH19" s="60">
        <f>RentMonth*INDEX(ScenarioMatrix,6,$B$3)*(1+RentGrowth)^(AH7-1)</f>
        <v/>
      </c>
      <c r="AI19" s="60">
        <f>RentMonth*INDEX(ScenarioMatrix,6,$B$3)*(1+RentGrowth)^(AI7-1)</f>
        <v/>
      </c>
      <c r="AJ19" s="60">
        <f>RentMonth*INDEX(ScenarioMatrix,6,$B$3)*(1+RentGrowth)^(AJ7-1)</f>
        <v/>
      </c>
      <c r="AK19" s="60">
        <f>RentMonth*INDEX(ScenarioMatrix,6,$B$3)*(1+RentGrowth)^(AK7-1)</f>
        <v/>
      </c>
      <c r="AL19" s="60">
        <f>RentMonth*INDEX(ScenarioMatrix,6,$B$3)*(1+RentGrowth)^(AL7-1)</f>
        <v/>
      </c>
      <c r="AM19" s="60">
        <f>SUM(C19:N19)</f>
        <v/>
      </c>
      <c r="AN19" s="60">
        <f>SUM(O19:Z19)</f>
        <v/>
      </c>
      <c r="AO19" s="60">
        <f>SUM(AA19:AL19)</f>
        <v/>
      </c>
      <c r="AP19" s="60">
        <f>SUM(AM19:AO19)</f>
        <v/>
      </c>
    </row>
    <row r="20">
      <c r="A20" s="6" t="inlineStr">
        <is>
          <t>Suministros</t>
        </is>
      </c>
      <c r="B20" s="24" t="inlineStr">
        <is>
          <t>€</t>
        </is>
      </c>
      <c r="C20" s="60">
        <f>UtilitiesMonth*(1+INDEX(ScenarioMatrix,7,$B$3))^(C7-1)</f>
        <v/>
      </c>
      <c r="D20" s="60">
        <f>UtilitiesMonth*(1+INDEX(ScenarioMatrix,7,$B$3))^(D7-1)</f>
        <v/>
      </c>
      <c r="E20" s="60">
        <f>UtilitiesMonth*(1+INDEX(ScenarioMatrix,7,$B$3))^(E7-1)</f>
        <v/>
      </c>
      <c r="F20" s="60">
        <f>UtilitiesMonth*(1+INDEX(ScenarioMatrix,7,$B$3))^(F7-1)</f>
        <v/>
      </c>
      <c r="G20" s="60">
        <f>UtilitiesMonth*(1+INDEX(ScenarioMatrix,7,$B$3))^(G7-1)</f>
        <v/>
      </c>
      <c r="H20" s="60">
        <f>UtilitiesMonth*(1+INDEX(ScenarioMatrix,7,$B$3))^(H7-1)</f>
        <v/>
      </c>
      <c r="I20" s="60">
        <f>UtilitiesMonth*(1+INDEX(ScenarioMatrix,7,$B$3))^(I7-1)</f>
        <v/>
      </c>
      <c r="J20" s="60">
        <f>UtilitiesMonth*(1+INDEX(ScenarioMatrix,7,$B$3))^(J7-1)</f>
        <v/>
      </c>
      <c r="K20" s="60">
        <f>UtilitiesMonth*(1+INDEX(ScenarioMatrix,7,$B$3))^(K7-1)</f>
        <v/>
      </c>
      <c r="L20" s="60">
        <f>UtilitiesMonth*(1+INDEX(ScenarioMatrix,7,$B$3))^(L7-1)</f>
        <v/>
      </c>
      <c r="M20" s="60">
        <f>UtilitiesMonth*(1+INDEX(ScenarioMatrix,7,$B$3))^(M7-1)</f>
        <v/>
      </c>
      <c r="N20" s="60">
        <f>UtilitiesMonth*(1+INDEX(ScenarioMatrix,7,$B$3))^(N7-1)</f>
        <v/>
      </c>
      <c r="O20" s="60">
        <f>UtilitiesMonth*(1+INDEX(ScenarioMatrix,7,$B$3))^(O7-1)</f>
        <v/>
      </c>
      <c r="P20" s="60">
        <f>UtilitiesMonth*(1+INDEX(ScenarioMatrix,7,$B$3))^(P7-1)</f>
        <v/>
      </c>
      <c r="Q20" s="60">
        <f>UtilitiesMonth*(1+INDEX(ScenarioMatrix,7,$B$3))^(Q7-1)</f>
        <v/>
      </c>
      <c r="R20" s="60">
        <f>UtilitiesMonth*(1+INDEX(ScenarioMatrix,7,$B$3))^(R7-1)</f>
        <v/>
      </c>
      <c r="S20" s="60">
        <f>UtilitiesMonth*(1+INDEX(ScenarioMatrix,7,$B$3))^(S7-1)</f>
        <v/>
      </c>
      <c r="T20" s="60">
        <f>UtilitiesMonth*(1+INDEX(ScenarioMatrix,7,$B$3))^(T7-1)</f>
        <v/>
      </c>
      <c r="U20" s="60">
        <f>UtilitiesMonth*(1+INDEX(ScenarioMatrix,7,$B$3))^(U7-1)</f>
        <v/>
      </c>
      <c r="V20" s="60">
        <f>UtilitiesMonth*(1+INDEX(ScenarioMatrix,7,$B$3))^(V7-1)</f>
        <v/>
      </c>
      <c r="W20" s="60">
        <f>UtilitiesMonth*(1+INDEX(ScenarioMatrix,7,$B$3))^(W7-1)</f>
        <v/>
      </c>
      <c r="X20" s="60">
        <f>UtilitiesMonth*(1+INDEX(ScenarioMatrix,7,$B$3))^(X7-1)</f>
        <v/>
      </c>
      <c r="Y20" s="60">
        <f>UtilitiesMonth*(1+INDEX(ScenarioMatrix,7,$B$3))^(Y7-1)</f>
        <v/>
      </c>
      <c r="Z20" s="60">
        <f>UtilitiesMonth*(1+INDEX(ScenarioMatrix,7,$B$3))^(Z7-1)</f>
        <v/>
      </c>
      <c r="AA20" s="60">
        <f>UtilitiesMonth*(1+INDEX(ScenarioMatrix,7,$B$3))^(AA7-1)</f>
        <v/>
      </c>
      <c r="AB20" s="60">
        <f>UtilitiesMonth*(1+INDEX(ScenarioMatrix,7,$B$3))^(AB7-1)</f>
        <v/>
      </c>
      <c r="AC20" s="60">
        <f>UtilitiesMonth*(1+INDEX(ScenarioMatrix,7,$B$3))^(AC7-1)</f>
        <v/>
      </c>
      <c r="AD20" s="60">
        <f>UtilitiesMonth*(1+INDEX(ScenarioMatrix,7,$B$3))^(AD7-1)</f>
        <v/>
      </c>
      <c r="AE20" s="60">
        <f>UtilitiesMonth*(1+INDEX(ScenarioMatrix,7,$B$3))^(AE7-1)</f>
        <v/>
      </c>
      <c r="AF20" s="60">
        <f>UtilitiesMonth*(1+INDEX(ScenarioMatrix,7,$B$3))^(AF7-1)</f>
        <v/>
      </c>
      <c r="AG20" s="60">
        <f>UtilitiesMonth*(1+INDEX(ScenarioMatrix,7,$B$3))^(AG7-1)</f>
        <v/>
      </c>
      <c r="AH20" s="60">
        <f>UtilitiesMonth*(1+INDEX(ScenarioMatrix,7,$B$3))^(AH7-1)</f>
        <v/>
      </c>
      <c r="AI20" s="60">
        <f>UtilitiesMonth*(1+INDEX(ScenarioMatrix,7,$B$3))^(AI7-1)</f>
        <v/>
      </c>
      <c r="AJ20" s="60">
        <f>UtilitiesMonth*(1+INDEX(ScenarioMatrix,7,$B$3))^(AJ7-1)</f>
        <v/>
      </c>
      <c r="AK20" s="60">
        <f>UtilitiesMonth*(1+INDEX(ScenarioMatrix,7,$B$3))^(AK7-1)</f>
        <v/>
      </c>
      <c r="AL20" s="60">
        <f>UtilitiesMonth*(1+INDEX(ScenarioMatrix,7,$B$3))^(AL7-1)</f>
        <v/>
      </c>
      <c r="AM20" s="60">
        <f>SUM(C20:N20)</f>
        <v/>
      </c>
      <c r="AN20" s="60">
        <f>SUM(O20:Z20)</f>
        <v/>
      </c>
      <c r="AO20" s="60">
        <f>SUM(AA20:AL20)</f>
        <v/>
      </c>
      <c r="AP20" s="60">
        <f>SUM(AM20:AO20)</f>
        <v/>
      </c>
    </row>
    <row r="21">
      <c r="A21" s="6" t="inlineStr">
        <is>
          <t>Servicios fijos</t>
        </is>
      </c>
      <c r="B21" s="24" t="inlineStr">
        <is>
          <t>€</t>
        </is>
      </c>
      <c r="C21" s="60">
        <f>FixedServicesMonth*(1+INDEX(ScenarioMatrix,7,$B$3))^(C7-1)</f>
        <v/>
      </c>
      <c r="D21" s="60">
        <f>FixedServicesMonth*(1+INDEX(ScenarioMatrix,7,$B$3))^(D7-1)</f>
        <v/>
      </c>
      <c r="E21" s="60">
        <f>FixedServicesMonth*(1+INDEX(ScenarioMatrix,7,$B$3))^(E7-1)</f>
        <v/>
      </c>
      <c r="F21" s="60">
        <f>FixedServicesMonth*(1+INDEX(ScenarioMatrix,7,$B$3))^(F7-1)</f>
        <v/>
      </c>
      <c r="G21" s="60">
        <f>FixedServicesMonth*(1+INDEX(ScenarioMatrix,7,$B$3))^(G7-1)</f>
        <v/>
      </c>
      <c r="H21" s="60">
        <f>FixedServicesMonth*(1+INDEX(ScenarioMatrix,7,$B$3))^(H7-1)</f>
        <v/>
      </c>
      <c r="I21" s="60">
        <f>FixedServicesMonth*(1+INDEX(ScenarioMatrix,7,$B$3))^(I7-1)</f>
        <v/>
      </c>
      <c r="J21" s="60">
        <f>FixedServicesMonth*(1+INDEX(ScenarioMatrix,7,$B$3))^(J7-1)</f>
        <v/>
      </c>
      <c r="K21" s="60">
        <f>FixedServicesMonth*(1+INDEX(ScenarioMatrix,7,$B$3))^(K7-1)</f>
        <v/>
      </c>
      <c r="L21" s="60">
        <f>FixedServicesMonth*(1+INDEX(ScenarioMatrix,7,$B$3))^(L7-1)</f>
        <v/>
      </c>
      <c r="M21" s="60">
        <f>FixedServicesMonth*(1+INDEX(ScenarioMatrix,7,$B$3))^(M7-1)</f>
        <v/>
      </c>
      <c r="N21" s="60">
        <f>FixedServicesMonth*(1+INDEX(ScenarioMatrix,7,$B$3))^(N7-1)</f>
        <v/>
      </c>
      <c r="O21" s="60">
        <f>FixedServicesMonth*(1+INDEX(ScenarioMatrix,7,$B$3))^(O7-1)</f>
        <v/>
      </c>
      <c r="P21" s="60">
        <f>FixedServicesMonth*(1+INDEX(ScenarioMatrix,7,$B$3))^(P7-1)</f>
        <v/>
      </c>
      <c r="Q21" s="60">
        <f>FixedServicesMonth*(1+INDEX(ScenarioMatrix,7,$B$3))^(Q7-1)</f>
        <v/>
      </c>
      <c r="R21" s="60">
        <f>FixedServicesMonth*(1+INDEX(ScenarioMatrix,7,$B$3))^(R7-1)</f>
        <v/>
      </c>
      <c r="S21" s="60">
        <f>FixedServicesMonth*(1+INDEX(ScenarioMatrix,7,$B$3))^(S7-1)</f>
        <v/>
      </c>
      <c r="T21" s="60">
        <f>FixedServicesMonth*(1+INDEX(ScenarioMatrix,7,$B$3))^(T7-1)</f>
        <v/>
      </c>
      <c r="U21" s="60">
        <f>FixedServicesMonth*(1+INDEX(ScenarioMatrix,7,$B$3))^(U7-1)</f>
        <v/>
      </c>
      <c r="V21" s="60">
        <f>FixedServicesMonth*(1+INDEX(ScenarioMatrix,7,$B$3))^(V7-1)</f>
        <v/>
      </c>
      <c r="W21" s="60">
        <f>FixedServicesMonth*(1+INDEX(ScenarioMatrix,7,$B$3))^(W7-1)</f>
        <v/>
      </c>
      <c r="X21" s="60">
        <f>FixedServicesMonth*(1+INDEX(ScenarioMatrix,7,$B$3))^(X7-1)</f>
        <v/>
      </c>
      <c r="Y21" s="60">
        <f>FixedServicesMonth*(1+INDEX(ScenarioMatrix,7,$B$3))^(Y7-1)</f>
        <v/>
      </c>
      <c r="Z21" s="60">
        <f>FixedServicesMonth*(1+INDEX(ScenarioMatrix,7,$B$3))^(Z7-1)</f>
        <v/>
      </c>
      <c r="AA21" s="60">
        <f>FixedServicesMonth*(1+INDEX(ScenarioMatrix,7,$B$3))^(AA7-1)</f>
        <v/>
      </c>
      <c r="AB21" s="60">
        <f>FixedServicesMonth*(1+INDEX(ScenarioMatrix,7,$B$3))^(AB7-1)</f>
        <v/>
      </c>
      <c r="AC21" s="60">
        <f>FixedServicesMonth*(1+INDEX(ScenarioMatrix,7,$B$3))^(AC7-1)</f>
        <v/>
      </c>
      <c r="AD21" s="60">
        <f>FixedServicesMonth*(1+INDEX(ScenarioMatrix,7,$B$3))^(AD7-1)</f>
        <v/>
      </c>
      <c r="AE21" s="60">
        <f>FixedServicesMonth*(1+INDEX(ScenarioMatrix,7,$B$3))^(AE7-1)</f>
        <v/>
      </c>
      <c r="AF21" s="60">
        <f>FixedServicesMonth*(1+INDEX(ScenarioMatrix,7,$B$3))^(AF7-1)</f>
        <v/>
      </c>
      <c r="AG21" s="60">
        <f>FixedServicesMonth*(1+INDEX(ScenarioMatrix,7,$B$3))^(AG7-1)</f>
        <v/>
      </c>
      <c r="AH21" s="60">
        <f>FixedServicesMonth*(1+INDEX(ScenarioMatrix,7,$B$3))^(AH7-1)</f>
        <v/>
      </c>
      <c r="AI21" s="60">
        <f>FixedServicesMonth*(1+INDEX(ScenarioMatrix,7,$B$3))^(AI7-1)</f>
        <v/>
      </c>
      <c r="AJ21" s="60">
        <f>FixedServicesMonth*(1+INDEX(ScenarioMatrix,7,$B$3))^(AJ7-1)</f>
        <v/>
      </c>
      <c r="AK21" s="60">
        <f>FixedServicesMonth*(1+INDEX(ScenarioMatrix,7,$B$3))^(AK7-1)</f>
        <v/>
      </c>
      <c r="AL21" s="60">
        <f>FixedServicesMonth*(1+INDEX(ScenarioMatrix,7,$B$3))^(AL7-1)</f>
        <v/>
      </c>
      <c r="AM21" s="60">
        <f>SUM(C21:N21)</f>
        <v/>
      </c>
      <c r="AN21" s="60">
        <f>SUM(O21:Z21)</f>
        <v/>
      </c>
      <c r="AO21" s="60">
        <f>SUM(AA21:AL21)</f>
        <v/>
      </c>
      <c r="AP21" s="60">
        <f>SUM(AM21:AO21)</f>
        <v/>
      </c>
    </row>
    <row r="22">
      <c r="A22" s="6" t="inlineStr">
        <is>
          <t>Marketing fijo</t>
        </is>
      </c>
      <c r="B22" s="24" t="inlineStr">
        <is>
          <t>€</t>
        </is>
      </c>
      <c r="C22" s="60">
        <f>FixedMarketingMonth*(1+FixedMarketingGrowth)^(C7-1)</f>
        <v/>
      </c>
      <c r="D22" s="60">
        <f>FixedMarketingMonth*(1+FixedMarketingGrowth)^(D7-1)</f>
        <v/>
      </c>
      <c r="E22" s="60">
        <f>FixedMarketingMonth*(1+FixedMarketingGrowth)^(E7-1)</f>
        <v/>
      </c>
      <c r="F22" s="60">
        <f>FixedMarketingMonth*(1+FixedMarketingGrowth)^(F7-1)</f>
        <v/>
      </c>
      <c r="G22" s="60">
        <f>FixedMarketingMonth*(1+FixedMarketingGrowth)^(G7-1)</f>
        <v/>
      </c>
      <c r="H22" s="60">
        <f>FixedMarketingMonth*(1+FixedMarketingGrowth)^(H7-1)</f>
        <v/>
      </c>
      <c r="I22" s="60">
        <f>FixedMarketingMonth*(1+FixedMarketingGrowth)^(I7-1)</f>
        <v/>
      </c>
      <c r="J22" s="60">
        <f>FixedMarketingMonth*(1+FixedMarketingGrowth)^(J7-1)</f>
        <v/>
      </c>
      <c r="K22" s="60">
        <f>FixedMarketingMonth*(1+FixedMarketingGrowth)^(K7-1)</f>
        <v/>
      </c>
      <c r="L22" s="60">
        <f>FixedMarketingMonth*(1+FixedMarketingGrowth)^(L7-1)</f>
        <v/>
      </c>
      <c r="M22" s="60">
        <f>FixedMarketingMonth*(1+FixedMarketingGrowth)^(M7-1)</f>
        <v/>
      </c>
      <c r="N22" s="60">
        <f>FixedMarketingMonth*(1+FixedMarketingGrowth)^(N7-1)</f>
        <v/>
      </c>
      <c r="O22" s="60">
        <f>FixedMarketingMonth*(1+FixedMarketingGrowth)^(O7-1)</f>
        <v/>
      </c>
      <c r="P22" s="60">
        <f>FixedMarketingMonth*(1+FixedMarketingGrowth)^(P7-1)</f>
        <v/>
      </c>
      <c r="Q22" s="60">
        <f>FixedMarketingMonth*(1+FixedMarketingGrowth)^(Q7-1)</f>
        <v/>
      </c>
      <c r="R22" s="60">
        <f>FixedMarketingMonth*(1+FixedMarketingGrowth)^(R7-1)</f>
        <v/>
      </c>
      <c r="S22" s="60">
        <f>FixedMarketingMonth*(1+FixedMarketingGrowth)^(S7-1)</f>
        <v/>
      </c>
      <c r="T22" s="60">
        <f>FixedMarketingMonth*(1+FixedMarketingGrowth)^(T7-1)</f>
        <v/>
      </c>
      <c r="U22" s="60">
        <f>FixedMarketingMonth*(1+FixedMarketingGrowth)^(U7-1)</f>
        <v/>
      </c>
      <c r="V22" s="60">
        <f>FixedMarketingMonth*(1+FixedMarketingGrowth)^(V7-1)</f>
        <v/>
      </c>
      <c r="W22" s="60">
        <f>FixedMarketingMonth*(1+FixedMarketingGrowth)^(W7-1)</f>
        <v/>
      </c>
      <c r="X22" s="60">
        <f>FixedMarketingMonth*(1+FixedMarketingGrowth)^(X7-1)</f>
        <v/>
      </c>
      <c r="Y22" s="60">
        <f>FixedMarketingMonth*(1+FixedMarketingGrowth)^(Y7-1)</f>
        <v/>
      </c>
      <c r="Z22" s="60">
        <f>FixedMarketingMonth*(1+FixedMarketingGrowth)^(Z7-1)</f>
        <v/>
      </c>
      <c r="AA22" s="60">
        <f>FixedMarketingMonth*(1+FixedMarketingGrowth)^(AA7-1)</f>
        <v/>
      </c>
      <c r="AB22" s="60">
        <f>FixedMarketingMonth*(1+FixedMarketingGrowth)^(AB7-1)</f>
        <v/>
      </c>
      <c r="AC22" s="60">
        <f>FixedMarketingMonth*(1+FixedMarketingGrowth)^(AC7-1)</f>
        <v/>
      </c>
      <c r="AD22" s="60">
        <f>FixedMarketingMonth*(1+FixedMarketingGrowth)^(AD7-1)</f>
        <v/>
      </c>
      <c r="AE22" s="60">
        <f>FixedMarketingMonth*(1+FixedMarketingGrowth)^(AE7-1)</f>
        <v/>
      </c>
      <c r="AF22" s="60">
        <f>FixedMarketingMonth*(1+FixedMarketingGrowth)^(AF7-1)</f>
        <v/>
      </c>
      <c r="AG22" s="60">
        <f>FixedMarketingMonth*(1+FixedMarketingGrowth)^(AG7-1)</f>
        <v/>
      </c>
      <c r="AH22" s="60">
        <f>FixedMarketingMonth*(1+FixedMarketingGrowth)^(AH7-1)</f>
        <v/>
      </c>
      <c r="AI22" s="60">
        <f>FixedMarketingMonth*(1+FixedMarketingGrowth)^(AI7-1)</f>
        <v/>
      </c>
      <c r="AJ22" s="60">
        <f>FixedMarketingMonth*(1+FixedMarketingGrowth)^(AJ7-1)</f>
        <v/>
      </c>
      <c r="AK22" s="60">
        <f>FixedMarketingMonth*(1+FixedMarketingGrowth)^(AK7-1)</f>
        <v/>
      </c>
      <c r="AL22" s="60">
        <f>FixedMarketingMonth*(1+FixedMarketingGrowth)^(AL7-1)</f>
        <v/>
      </c>
      <c r="AM22" s="60">
        <f>SUM(C22:N22)</f>
        <v/>
      </c>
      <c r="AN22" s="60">
        <f>SUM(O22:Z22)</f>
        <v/>
      </c>
      <c r="AO22" s="60">
        <f>SUM(AA22:AL22)</f>
        <v/>
      </c>
      <c r="AP22" s="60">
        <f>SUM(AM22:AO22)</f>
        <v/>
      </c>
    </row>
    <row r="23">
      <c r="A23" s="6" t="inlineStr">
        <is>
          <t>Marketing variable</t>
        </is>
      </c>
      <c r="B23" s="24" t="inlineStr">
        <is>
          <t>€</t>
        </is>
      </c>
      <c r="C23" s="60">
        <f>INDEX(ScenarioMatrix,8,$B$3)*C15</f>
        <v/>
      </c>
      <c r="D23" s="60">
        <f>INDEX(ScenarioMatrix,8,$B$3)*D15</f>
        <v/>
      </c>
      <c r="E23" s="60">
        <f>INDEX(ScenarioMatrix,8,$B$3)*E15</f>
        <v/>
      </c>
      <c r="F23" s="60">
        <f>INDEX(ScenarioMatrix,8,$B$3)*F15</f>
        <v/>
      </c>
      <c r="G23" s="60">
        <f>INDEX(ScenarioMatrix,8,$B$3)*G15</f>
        <v/>
      </c>
      <c r="H23" s="60">
        <f>INDEX(ScenarioMatrix,8,$B$3)*H15</f>
        <v/>
      </c>
      <c r="I23" s="60">
        <f>INDEX(ScenarioMatrix,8,$B$3)*I15</f>
        <v/>
      </c>
      <c r="J23" s="60">
        <f>INDEX(ScenarioMatrix,8,$B$3)*J15</f>
        <v/>
      </c>
      <c r="K23" s="60">
        <f>INDEX(ScenarioMatrix,8,$B$3)*K15</f>
        <v/>
      </c>
      <c r="L23" s="60">
        <f>INDEX(ScenarioMatrix,8,$B$3)*L15</f>
        <v/>
      </c>
      <c r="M23" s="60">
        <f>INDEX(ScenarioMatrix,8,$B$3)*M15</f>
        <v/>
      </c>
      <c r="N23" s="60">
        <f>INDEX(ScenarioMatrix,8,$B$3)*N15</f>
        <v/>
      </c>
      <c r="O23" s="60">
        <f>INDEX(ScenarioMatrix,8,$B$3)*O15</f>
        <v/>
      </c>
      <c r="P23" s="60">
        <f>INDEX(ScenarioMatrix,8,$B$3)*P15</f>
        <v/>
      </c>
      <c r="Q23" s="60">
        <f>INDEX(ScenarioMatrix,8,$B$3)*Q15</f>
        <v/>
      </c>
      <c r="R23" s="60">
        <f>INDEX(ScenarioMatrix,8,$B$3)*R15</f>
        <v/>
      </c>
      <c r="S23" s="60">
        <f>INDEX(ScenarioMatrix,8,$B$3)*S15</f>
        <v/>
      </c>
      <c r="T23" s="60">
        <f>INDEX(ScenarioMatrix,8,$B$3)*T15</f>
        <v/>
      </c>
      <c r="U23" s="60">
        <f>INDEX(ScenarioMatrix,8,$B$3)*U15</f>
        <v/>
      </c>
      <c r="V23" s="60">
        <f>INDEX(ScenarioMatrix,8,$B$3)*V15</f>
        <v/>
      </c>
      <c r="W23" s="60">
        <f>INDEX(ScenarioMatrix,8,$B$3)*W15</f>
        <v/>
      </c>
      <c r="X23" s="60">
        <f>INDEX(ScenarioMatrix,8,$B$3)*X15</f>
        <v/>
      </c>
      <c r="Y23" s="60">
        <f>INDEX(ScenarioMatrix,8,$B$3)*Y15</f>
        <v/>
      </c>
      <c r="Z23" s="60">
        <f>INDEX(ScenarioMatrix,8,$B$3)*Z15</f>
        <v/>
      </c>
      <c r="AA23" s="60">
        <f>INDEX(ScenarioMatrix,8,$B$3)*AA15</f>
        <v/>
      </c>
      <c r="AB23" s="60">
        <f>INDEX(ScenarioMatrix,8,$B$3)*AB15</f>
        <v/>
      </c>
      <c r="AC23" s="60">
        <f>INDEX(ScenarioMatrix,8,$B$3)*AC15</f>
        <v/>
      </c>
      <c r="AD23" s="60">
        <f>INDEX(ScenarioMatrix,8,$B$3)*AD15</f>
        <v/>
      </c>
      <c r="AE23" s="60">
        <f>INDEX(ScenarioMatrix,8,$B$3)*AE15</f>
        <v/>
      </c>
      <c r="AF23" s="60">
        <f>INDEX(ScenarioMatrix,8,$B$3)*AF15</f>
        <v/>
      </c>
      <c r="AG23" s="60">
        <f>INDEX(ScenarioMatrix,8,$B$3)*AG15</f>
        <v/>
      </c>
      <c r="AH23" s="60">
        <f>INDEX(ScenarioMatrix,8,$B$3)*AH15</f>
        <v/>
      </c>
      <c r="AI23" s="60">
        <f>INDEX(ScenarioMatrix,8,$B$3)*AI15</f>
        <v/>
      </c>
      <c r="AJ23" s="60">
        <f>INDEX(ScenarioMatrix,8,$B$3)*AJ15</f>
        <v/>
      </c>
      <c r="AK23" s="60">
        <f>INDEX(ScenarioMatrix,8,$B$3)*AK15</f>
        <v/>
      </c>
      <c r="AL23" s="60">
        <f>INDEX(ScenarioMatrix,8,$B$3)*AL15</f>
        <v/>
      </c>
      <c r="AM23" s="60">
        <f>SUM(C23:N23)</f>
        <v/>
      </c>
      <c r="AN23" s="60">
        <f>SUM(O23:Z23)</f>
        <v/>
      </c>
      <c r="AO23" s="60">
        <f>SUM(AA23:AL23)</f>
        <v/>
      </c>
      <c r="AP23" s="60">
        <f>SUM(AM23:AO23)</f>
        <v/>
      </c>
    </row>
    <row r="24">
      <c r="A24" s="6" t="inlineStr">
        <is>
          <t>Otros gastos</t>
        </is>
      </c>
      <c r="B24" s="24" t="inlineStr">
        <is>
          <t>€</t>
        </is>
      </c>
      <c r="C24" s="60">
        <f>OtherOpexMonth*INDEX(ScenarioMatrix,9,$B$3)*(1+INDEX(ScenarioMatrix,10,$B$3))^(C7-1)</f>
        <v/>
      </c>
      <c r="D24" s="60">
        <f>OtherOpexMonth*INDEX(ScenarioMatrix,9,$B$3)*(1+INDEX(ScenarioMatrix,10,$B$3))^(D7-1)</f>
        <v/>
      </c>
      <c r="E24" s="60">
        <f>OtherOpexMonth*INDEX(ScenarioMatrix,9,$B$3)*(1+INDEX(ScenarioMatrix,10,$B$3))^(E7-1)</f>
        <v/>
      </c>
      <c r="F24" s="60">
        <f>OtherOpexMonth*INDEX(ScenarioMatrix,9,$B$3)*(1+INDEX(ScenarioMatrix,10,$B$3))^(F7-1)</f>
        <v/>
      </c>
      <c r="G24" s="60">
        <f>OtherOpexMonth*INDEX(ScenarioMatrix,9,$B$3)*(1+INDEX(ScenarioMatrix,10,$B$3))^(G7-1)</f>
        <v/>
      </c>
      <c r="H24" s="60">
        <f>OtherOpexMonth*INDEX(ScenarioMatrix,9,$B$3)*(1+INDEX(ScenarioMatrix,10,$B$3))^(H7-1)</f>
        <v/>
      </c>
      <c r="I24" s="60">
        <f>OtherOpexMonth*INDEX(ScenarioMatrix,9,$B$3)*(1+INDEX(ScenarioMatrix,10,$B$3))^(I7-1)</f>
        <v/>
      </c>
      <c r="J24" s="60">
        <f>OtherOpexMonth*INDEX(ScenarioMatrix,9,$B$3)*(1+INDEX(ScenarioMatrix,10,$B$3))^(J7-1)</f>
        <v/>
      </c>
      <c r="K24" s="60">
        <f>OtherOpexMonth*INDEX(ScenarioMatrix,9,$B$3)*(1+INDEX(ScenarioMatrix,10,$B$3))^(K7-1)</f>
        <v/>
      </c>
      <c r="L24" s="60">
        <f>OtherOpexMonth*INDEX(ScenarioMatrix,9,$B$3)*(1+INDEX(ScenarioMatrix,10,$B$3))^(L7-1)</f>
        <v/>
      </c>
      <c r="M24" s="60">
        <f>OtherOpexMonth*INDEX(ScenarioMatrix,9,$B$3)*(1+INDEX(ScenarioMatrix,10,$B$3))^(M7-1)</f>
        <v/>
      </c>
      <c r="N24" s="60">
        <f>OtherOpexMonth*INDEX(ScenarioMatrix,9,$B$3)*(1+INDEX(ScenarioMatrix,10,$B$3))^(N7-1)</f>
        <v/>
      </c>
      <c r="O24" s="60">
        <f>OtherOpexMonth*INDEX(ScenarioMatrix,9,$B$3)*(1+INDEX(ScenarioMatrix,10,$B$3))^(O7-1)</f>
        <v/>
      </c>
      <c r="P24" s="60">
        <f>OtherOpexMonth*INDEX(ScenarioMatrix,9,$B$3)*(1+INDEX(ScenarioMatrix,10,$B$3))^(P7-1)</f>
        <v/>
      </c>
      <c r="Q24" s="60">
        <f>OtherOpexMonth*INDEX(ScenarioMatrix,9,$B$3)*(1+INDEX(ScenarioMatrix,10,$B$3))^(Q7-1)</f>
        <v/>
      </c>
      <c r="R24" s="60">
        <f>OtherOpexMonth*INDEX(ScenarioMatrix,9,$B$3)*(1+INDEX(ScenarioMatrix,10,$B$3))^(R7-1)</f>
        <v/>
      </c>
      <c r="S24" s="60">
        <f>OtherOpexMonth*INDEX(ScenarioMatrix,9,$B$3)*(1+INDEX(ScenarioMatrix,10,$B$3))^(S7-1)</f>
        <v/>
      </c>
      <c r="T24" s="60">
        <f>OtherOpexMonth*INDEX(ScenarioMatrix,9,$B$3)*(1+INDEX(ScenarioMatrix,10,$B$3))^(T7-1)</f>
        <v/>
      </c>
      <c r="U24" s="60">
        <f>OtherOpexMonth*INDEX(ScenarioMatrix,9,$B$3)*(1+INDEX(ScenarioMatrix,10,$B$3))^(U7-1)</f>
        <v/>
      </c>
      <c r="V24" s="60">
        <f>OtherOpexMonth*INDEX(ScenarioMatrix,9,$B$3)*(1+INDEX(ScenarioMatrix,10,$B$3))^(V7-1)</f>
        <v/>
      </c>
      <c r="W24" s="60">
        <f>OtherOpexMonth*INDEX(ScenarioMatrix,9,$B$3)*(1+INDEX(ScenarioMatrix,10,$B$3))^(W7-1)</f>
        <v/>
      </c>
      <c r="X24" s="60">
        <f>OtherOpexMonth*INDEX(ScenarioMatrix,9,$B$3)*(1+INDEX(ScenarioMatrix,10,$B$3))^(X7-1)</f>
        <v/>
      </c>
      <c r="Y24" s="60">
        <f>OtherOpexMonth*INDEX(ScenarioMatrix,9,$B$3)*(1+INDEX(ScenarioMatrix,10,$B$3))^(Y7-1)</f>
        <v/>
      </c>
      <c r="Z24" s="60">
        <f>OtherOpexMonth*INDEX(ScenarioMatrix,9,$B$3)*(1+INDEX(ScenarioMatrix,10,$B$3))^(Z7-1)</f>
        <v/>
      </c>
      <c r="AA24" s="60">
        <f>OtherOpexMonth*INDEX(ScenarioMatrix,9,$B$3)*(1+INDEX(ScenarioMatrix,10,$B$3))^(AA7-1)</f>
        <v/>
      </c>
      <c r="AB24" s="60">
        <f>OtherOpexMonth*INDEX(ScenarioMatrix,9,$B$3)*(1+INDEX(ScenarioMatrix,10,$B$3))^(AB7-1)</f>
        <v/>
      </c>
      <c r="AC24" s="60">
        <f>OtherOpexMonth*INDEX(ScenarioMatrix,9,$B$3)*(1+INDEX(ScenarioMatrix,10,$B$3))^(AC7-1)</f>
        <v/>
      </c>
      <c r="AD24" s="60">
        <f>OtherOpexMonth*INDEX(ScenarioMatrix,9,$B$3)*(1+INDEX(ScenarioMatrix,10,$B$3))^(AD7-1)</f>
        <v/>
      </c>
      <c r="AE24" s="60">
        <f>OtherOpexMonth*INDEX(ScenarioMatrix,9,$B$3)*(1+INDEX(ScenarioMatrix,10,$B$3))^(AE7-1)</f>
        <v/>
      </c>
      <c r="AF24" s="60">
        <f>OtherOpexMonth*INDEX(ScenarioMatrix,9,$B$3)*(1+INDEX(ScenarioMatrix,10,$B$3))^(AF7-1)</f>
        <v/>
      </c>
      <c r="AG24" s="60">
        <f>OtherOpexMonth*INDEX(ScenarioMatrix,9,$B$3)*(1+INDEX(ScenarioMatrix,10,$B$3))^(AG7-1)</f>
        <v/>
      </c>
      <c r="AH24" s="60">
        <f>OtherOpexMonth*INDEX(ScenarioMatrix,9,$B$3)*(1+INDEX(ScenarioMatrix,10,$B$3))^(AH7-1)</f>
        <v/>
      </c>
      <c r="AI24" s="60">
        <f>OtherOpexMonth*INDEX(ScenarioMatrix,9,$B$3)*(1+INDEX(ScenarioMatrix,10,$B$3))^(AI7-1)</f>
        <v/>
      </c>
      <c r="AJ24" s="60">
        <f>OtherOpexMonth*INDEX(ScenarioMatrix,9,$B$3)*(1+INDEX(ScenarioMatrix,10,$B$3))^(AJ7-1)</f>
        <v/>
      </c>
      <c r="AK24" s="60">
        <f>OtherOpexMonth*INDEX(ScenarioMatrix,9,$B$3)*(1+INDEX(ScenarioMatrix,10,$B$3))^(AK7-1)</f>
        <v/>
      </c>
      <c r="AL24" s="60">
        <f>OtherOpexMonth*INDEX(ScenarioMatrix,9,$B$3)*(1+INDEX(ScenarioMatrix,10,$B$3))^(AL7-1)</f>
        <v/>
      </c>
      <c r="AM24" s="60">
        <f>SUM(C24:N24)</f>
        <v/>
      </c>
      <c r="AN24" s="60">
        <f>SUM(O24:Z24)</f>
        <v/>
      </c>
      <c r="AO24" s="60">
        <f>SUM(AA24:AL24)</f>
        <v/>
      </c>
      <c r="AP24" s="60">
        <f>SUM(AM24:AO24)</f>
        <v/>
      </c>
    </row>
    <row r="25">
      <c r="A25" s="6" t="inlineStr">
        <is>
          <t>Total opex + personal</t>
        </is>
      </c>
      <c r="B25" s="24" t="inlineStr">
        <is>
          <t>€</t>
        </is>
      </c>
      <c r="C25" s="59">
        <f>SUM(C18:C24)</f>
        <v/>
      </c>
      <c r="D25" s="59">
        <f>SUM(D18:D24)</f>
        <v/>
      </c>
      <c r="E25" s="59">
        <f>SUM(E18:E24)</f>
        <v/>
      </c>
      <c r="F25" s="59">
        <f>SUM(F18:F24)</f>
        <v/>
      </c>
      <c r="G25" s="59">
        <f>SUM(G18:G24)</f>
        <v/>
      </c>
      <c r="H25" s="59">
        <f>SUM(H18:H24)</f>
        <v/>
      </c>
      <c r="I25" s="59">
        <f>SUM(I18:I24)</f>
        <v/>
      </c>
      <c r="J25" s="59">
        <f>SUM(J18:J24)</f>
        <v/>
      </c>
      <c r="K25" s="59">
        <f>SUM(K18:K24)</f>
        <v/>
      </c>
      <c r="L25" s="59">
        <f>SUM(L18:L24)</f>
        <v/>
      </c>
      <c r="M25" s="59">
        <f>SUM(M18:M24)</f>
        <v/>
      </c>
      <c r="N25" s="59">
        <f>SUM(N18:N24)</f>
        <v/>
      </c>
      <c r="O25" s="59">
        <f>SUM(O18:O24)</f>
        <v/>
      </c>
      <c r="P25" s="59">
        <f>SUM(P18:P24)</f>
        <v/>
      </c>
      <c r="Q25" s="59">
        <f>SUM(Q18:Q24)</f>
        <v/>
      </c>
      <c r="R25" s="59">
        <f>SUM(R18:R24)</f>
        <v/>
      </c>
      <c r="S25" s="59">
        <f>SUM(S18:S24)</f>
        <v/>
      </c>
      <c r="T25" s="59">
        <f>SUM(T18:T24)</f>
        <v/>
      </c>
      <c r="U25" s="59">
        <f>SUM(U18:U24)</f>
        <v/>
      </c>
      <c r="V25" s="59">
        <f>SUM(V18:V24)</f>
        <v/>
      </c>
      <c r="W25" s="59">
        <f>SUM(W18:W24)</f>
        <v/>
      </c>
      <c r="X25" s="59">
        <f>SUM(X18:X24)</f>
        <v/>
      </c>
      <c r="Y25" s="59">
        <f>SUM(Y18:Y24)</f>
        <v/>
      </c>
      <c r="Z25" s="59">
        <f>SUM(Z18:Z24)</f>
        <v/>
      </c>
      <c r="AA25" s="59">
        <f>SUM(AA18:AA24)</f>
        <v/>
      </c>
      <c r="AB25" s="59">
        <f>SUM(AB18:AB24)</f>
        <v/>
      </c>
      <c r="AC25" s="59">
        <f>SUM(AC18:AC24)</f>
        <v/>
      </c>
      <c r="AD25" s="59">
        <f>SUM(AD18:AD24)</f>
        <v/>
      </c>
      <c r="AE25" s="59">
        <f>SUM(AE18:AE24)</f>
        <v/>
      </c>
      <c r="AF25" s="59">
        <f>SUM(AF18:AF24)</f>
        <v/>
      </c>
      <c r="AG25" s="59">
        <f>SUM(AG18:AG24)</f>
        <v/>
      </c>
      <c r="AH25" s="59">
        <f>SUM(AH18:AH24)</f>
        <v/>
      </c>
      <c r="AI25" s="59">
        <f>SUM(AI18:AI24)</f>
        <v/>
      </c>
      <c r="AJ25" s="59">
        <f>SUM(AJ18:AJ24)</f>
        <v/>
      </c>
      <c r="AK25" s="59">
        <f>SUM(AK18:AK24)</f>
        <v/>
      </c>
      <c r="AL25" s="59">
        <f>SUM(AL18:AL24)</f>
        <v/>
      </c>
      <c r="AM25" s="59">
        <f>SUM(C25:N25)</f>
        <v/>
      </c>
      <c r="AN25" s="59">
        <f>SUM(O25:Z25)</f>
        <v/>
      </c>
      <c r="AO25" s="59">
        <f>SUM(AA25:AL25)</f>
        <v/>
      </c>
      <c r="AP25" s="59">
        <f>SUM(AM25:AO25)</f>
        <v/>
      </c>
    </row>
    <row r="26">
      <c r="A26" s="6" t="inlineStr">
        <is>
          <t>EBITDA</t>
        </is>
      </c>
      <c r="B26" s="24" t="inlineStr">
        <is>
          <t>€</t>
        </is>
      </c>
      <c r="C26" s="59">
        <f>C17-C25</f>
        <v/>
      </c>
      <c r="D26" s="59">
        <f>D17-D25</f>
        <v/>
      </c>
      <c r="E26" s="59">
        <f>E17-E25</f>
        <v/>
      </c>
      <c r="F26" s="59">
        <f>F17-F25</f>
        <v/>
      </c>
      <c r="G26" s="59">
        <f>G17-G25</f>
        <v/>
      </c>
      <c r="H26" s="59">
        <f>H17-H25</f>
        <v/>
      </c>
      <c r="I26" s="59">
        <f>I17-I25</f>
        <v/>
      </c>
      <c r="J26" s="59">
        <f>J17-J25</f>
        <v/>
      </c>
      <c r="K26" s="59">
        <f>K17-K25</f>
        <v/>
      </c>
      <c r="L26" s="59">
        <f>L17-L25</f>
        <v/>
      </c>
      <c r="M26" s="59">
        <f>M17-M25</f>
        <v/>
      </c>
      <c r="N26" s="59">
        <f>N17-N25</f>
        <v/>
      </c>
      <c r="O26" s="59">
        <f>O17-O25</f>
        <v/>
      </c>
      <c r="P26" s="59">
        <f>P17-P25</f>
        <v/>
      </c>
      <c r="Q26" s="59">
        <f>Q17-Q25</f>
        <v/>
      </c>
      <c r="R26" s="59">
        <f>R17-R25</f>
        <v/>
      </c>
      <c r="S26" s="59">
        <f>S17-S25</f>
        <v/>
      </c>
      <c r="T26" s="59">
        <f>T17-T25</f>
        <v/>
      </c>
      <c r="U26" s="59">
        <f>U17-U25</f>
        <v/>
      </c>
      <c r="V26" s="59">
        <f>V17-V25</f>
        <v/>
      </c>
      <c r="W26" s="59">
        <f>W17-W25</f>
        <v/>
      </c>
      <c r="X26" s="59">
        <f>X17-X25</f>
        <v/>
      </c>
      <c r="Y26" s="59">
        <f>Y17-Y25</f>
        <v/>
      </c>
      <c r="Z26" s="59">
        <f>Z17-Z25</f>
        <v/>
      </c>
      <c r="AA26" s="59">
        <f>AA17-AA25</f>
        <v/>
      </c>
      <c r="AB26" s="59">
        <f>AB17-AB25</f>
        <v/>
      </c>
      <c r="AC26" s="59">
        <f>AC17-AC25</f>
        <v/>
      </c>
      <c r="AD26" s="59">
        <f>AD17-AD25</f>
        <v/>
      </c>
      <c r="AE26" s="59">
        <f>AE17-AE25</f>
        <v/>
      </c>
      <c r="AF26" s="59">
        <f>AF17-AF25</f>
        <v/>
      </c>
      <c r="AG26" s="59">
        <f>AG17-AG25</f>
        <v/>
      </c>
      <c r="AH26" s="59">
        <f>AH17-AH25</f>
        <v/>
      </c>
      <c r="AI26" s="59">
        <f>AI17-AI25</f>
        <v/>
      </c>
      <c r="AJ26" s="59">
        <f>AJ17-AJ25</f>
        <v/>
      </c>
      <c r="AK26" s="59">
        <f>AK17-AK25</f>
        <v/>
      </c>
      <c r="AL26" s="59">
        <f>AL17-AL25</f>
        <v/>
      </c>
      <c r="AM26" s="59">
        <f>SUM(C26:N26)</f>
        <v/>
      </c>
      <c r="AN26" s="59">
        <f>SUM(O26:Z26)</f>
        <v/>
      </c>
      <c r="AO26" s="59">
        <f>SUM(AA26:AL26)</f>
        <v/>
      </c>
      <c r="AP26" s="59">
        <f>SUM(AM26:AO26)</f>
        <v/>
      </c>
    </row>
    <row r="27">
      <c r="A27" s="6" t="inlineStr">
        <is>
          <t>Amortización</t>
        </is>
      </c>
      <c r="B27" s="24" t="inlineStr">
        <is>
          <t>€</t>
        </is>
      </c>
      <c r="C27" s="60">
        <f>MonthlyDepreciation</f>
        <v/>
      </c>
      <c r="D27" s="60">
        <f>MonthlyDepreciation</f>
        <v/>
      </c>
      <c r="E27" s="60">
        <f>MonthlyDepreciation</f>
        <v/>
      </c>
      <c r="F27" s="60">
        <f>MonthlyDepreciation</f>
        <v/>
      </c>
      <c r="G27" s="60">
        <f>MonthlyDepreciation</f>
        <v/>
      </c>
      <c r="H27" s="60">
        <f>MonthlyDepreciation</f>
        <v/>
      </c>
      <c r="I27" s="60">
        <f>MonthlyDepreciation</f>
        <v/>
      </c>
      <c r="J27" s="60">
        <f>MonthlyDepreciation</f>
        <v/>
      </c>
      <c r="K27" s="60">
        <f>MonthlyDepreciation</f>
        <v/>
      </c>
      <c r="L27" s="60">
        <f>MonthlyDepreciation</f>
        <v/>
      </c>
      <c r="M27" s="60">
        <f>MonthlyDepreciation</f>
        <v/>
      </c>
      <c r="N27" s="60">
        <f>MonthlyDepreciation</f>
        <v/>
      </c>
      <c r="O27" s="60">
        <f>MonthlyDepreciation</f>
        <v/>
      </c>
      <c r="P27" s="60">
        <f>MonthlyDepreciation</f>
        <v/>
      </c>
      <c r="Q27" s="60">
        <f>MonthlyDepreciation</f>
        <v/>
      </c>
      <c r="R27" s="60">
        <f>MonthlyDepreciation</f>
        <v/>
      </c>
      <c r="S27" s="60">
        <f>MonthlyDepreciation</f>
        <v/>
      </c>
      <c r="T27" s="60">
        <f>MonthlyDepreciation</f>
        <v/>
      </c>
      <c r="U27" s="60">
        <f>MonthlyDepreciation</f>
        <v/>
      </c>
      <c r="V27" s="60">
        <f>MonthlyDepreciation</f>
        <v/>
      </c>
      <c r="W27" s="60">
        <f>MonthlyDepreciation</f>
        <v/>
      </c>
      <c r="X27" s="60">
        <f>MonthlyDepreciation</f>
        <v/>
      </c>
      <c r="Y27" s="60">
        <f>MonthlyDepreciation</f>
        <v/>
      </c>
      <c r="Z27" s="60">
        <f>MonthlyDepreciation</f>
        <v/>
      </c>
      <c r="AA27" s="60">
        <f>MonthlyDepreciation</f>
        <v/>
      </c>
      <c r="AB27" s="60">
        <f>MonthlyDepreciation</f>
        <v/>
      </c>
      <c r="AC27" s="60">
        <f>MonthlyDepreciation</f>
        <v/>
      </c>
      <c r="AD27" s="60">
        <f>MonthlyDepreciation</f>
        <v/>
      </c>
      <c r="AE27" s="60">
        <f>MonthlyDepreciation</f>
        <v/>
      </c>
      <c r="AF27" s="60">
        <f>MonthlyDepreciation</f>
        <v/>
      </c>
      <c r="AG27" s="60">
        <f>MonthlyDepreciation</f>
        <v/>
      </c>
      <c r="AH27" s="60">
        <f>MonthlyDepreciation</f>
        <v/>
      </c>
      <c r="AI27" s="60">
        <f>MonthlyDepreciation</f>
        <v/>
      </c>
      <c r="AJ27" s="60">
        <f>MonthlyDepreciation</f>
        <v/>
      </c>
      <c r="AK27" s="60">
        <f>MonthlyDepreciation</f>
        <v/>
      </c>
      <c r="AL27" s="60">
        <f>MonthlyDepreciation</f>
        <v/>
      </c>
      <c r="AM27" s="60">
        <f>SUM(C27:N27)</f>
        <v/>
      </c>
      <c r="AN27" s="60">
        <f>SUM(O27:Z27)</f>
        <v/>
      </c>
      <c r="AO27" s="60">
        <f>SUM(AA27:AL27)</f>
        <v/>
      </c>
      <c r="AP27" s="60">
        <f>SUM(AM27:AO27)</f>
        <v/>
      </c>
    </row>
    <row r="28">
      <c r="A28" s="6" t="inlineStr">
        <is>
          <t>EBIT</t>
        </is>
      </c>
      <c r="B28" s="24" t="inlineStr">
        <is>
          <t>€</t>
        </is>
      </c>
      <c r="C28" s="59">
        <f>C26-C27</f>
        <v/>
      </c>
      <c r="D28" s="59">
        <f>D26-D27</f>
        <v/>
      </c>
      <c r="E28" s="59">
        <f>E26-E27</f>
        <v/>
      </c>
      <c r="F28" s="59">
        <f>F26-F27</f>
        <v/>
      </c>
      <c r="G28" s="59">
        <f>G26-G27</f>
        <v/>
      </c>
      <c r="H28" s="59">
        <f>H26-H27</f>
        <v/>
      </c>
      <c r="I28" s="59">
        <f>I26-I27</f>
        <v/>
      </c>
      <c r="J28" s="59">
        <f>J26-J27</f>
        <v/>
      </c>
      <c r="K28" s="59">
        <f>K26-K27</f>
        <v/>
      </c>
      <c r="L28" s="59">
        <f>L26-L27</f>
        <v/>
      </c>
      <c r="M28" s="59">
        <f>M26-M27</f>
        <v/>
      </c>
      <c r="N28" s="59">
        <f>N26-N27</f>
        <v/>
      </c>
      <c r="O28" s="59">
        <f>O26-O27</f>
        <v/>
      </c>
      <c r="P28" s="59">
        <f>P26-P27</f>
        <v/>
      </c>
      <c r="Q28" s="59">
        <f>Q26-Q27</f>
        <v/>
      </c>
      <c r="R28" s="59">
        <f>R26-R27</f>
        <v/>
      </c>
      <c r="S28" s="59">
        <f>S26-S27</f>
        <v/>
      </c>
      <c r="T28" s="59">
        <f>T26-T27</f>
        <v/>
      </c>
      <c r="U28" s="59">
        <f>U26-U27</f>
        <v/>
      </c>
      <c r="V28" s="59">
        <f>V26-V27</f>
        <v/>
      </c>
      <c r="W28" s="59">
        <f>W26-W27</f>
        <v/>
      </c>
      <c r="X28" s="59">
        <f>X26-X27</f>
        <v/>
      </c>
      <c r="Y28" s="59">
        <f>Y26-Y27</f>
        <v/>
      </c>
      <c r="Z28" s="59">
        <f>Z26-Z27</f>
        <v/>
      </c>
      <c r="AA28" s="59">
        <f>AA26-AA27</f>
        <v/>
      </c>
      <c r="AB28" s="59">
        <f>AB26-AB27</f>
        <v/>
      </c>
      <c r="AC28" s="59">
        <f>AC26-AC27</f>
        <v/>
      </c>
      <c r="AD28" s="59">
        <f>AD26-AD27</f>
        <v/>
      </c>
      <c r="AE28" s="59">
        <f>AE26-AE27</f>
        <v/>
      </c>
      <c r="AF28" s="59">
        <f>AF26-AF27</f>
        <v/>
      </c>
      <c r="AG28" s="59">
        <f>AG26-AG27</f>
        <v/>
      </c>
      <c r="AH28" s="59">
        <f>AH26-AH27</f>
        <v/>
      </c>
      <c r="AI28" s="59">
        <f>AI26-AI27</f>
        <v/>
      </c>
      <c r="AJ28" s="59">
        <f>AJ26-AJ27</f>
        <v/>
      </c>
      <c r="AK28" s="59">
        <f>AK26-AK27</f>
        <v/>
      </c>
      <c r="AL28" s="59">
        <f>AL26-AL27</f>
        <v/>
      </c>
      <c r="AM28" s="59">
        <f>SUM(C28:N28)</f>
        <v/>
      </c>
      <c r="AN28" s="59">
        <f>SUM(O28:Z28)</f>
        <v/>
      </c>
      <c r="AO28" s="59">
        <f>SUM(AA28:AL28)</f>
        <v/>
      </c>
      <c r="AP28" s="59">
        <f>SUM(AM28:AO28)</f>
        <v/>
      </c>
    </row>
    <row r="29">
      <c r="A29" s="6" t="inlineStr">
        <is>
          <t>Intereses</t>
        </is>
      </c>
      <c r="B29" s="24" t="inlineStr">
        <is>
          <t>€</t>
        </is>
      </c>
      <c r="C29" s="60">
        <f>C53</f>
        <v/>
      </c>
      <c r="D29" s="60">
        <f>D53</f>
        <v/>
      </c>
      <c r="E29" s="60">
        <f>E53</f>
        <v/>
      </c>
      <c r="F29" s="60">
        <f>F53</f>
        <v/>
      </c>
      <c r="G29" s="60">
        <f>G53</f>
        <v/>
      </c>
      <c r="H29" s="60">
        <f>H53</f>
        <v/>
      </c>
      <c r="I29" s="60">
        <f>I53</f>
        <v/>
      </c>
      <c r="J29" s="60">
        <f>J53</f>
        <v/>
      </c>
      <c r="K29" s="60">
        <f>K53</f>
        <v/>
      </c>
      <c r="L29" s="60">
        <f>L53</f>
        <v/>
      </c>
      <c r="M29" s="60">
        <f>M53</f>
        <v/>
      </c>
      <c r="N29" s="60">
        <f>N53</f>
        <v/>
      </c>
      <c r="O29" s="60">
        <f>O53</f>
        <v/>
      </c>
      <c r="P29" s="60">
        <f>P53</f>
        <v/>
      </c>
      <c r="Q29" s="60">
        <f>Q53</f>
        <v/>
      </c>
      <c r="R29" s="60">
        <f>R53</f>
        <v/>
      </c>
      <c r="S29" s="60">
        <f>S53</f>
        <v/>
      </c>
      <c r="T29" s="60">
        <f>T53</f>
        <v/>
      </c>
      <c r="U29" s="60">
        <f>U53</f>
        <v/>
      </c>
      <c r="V29" s="60">
        <f>V53</f>
        <v/>
      </c>
      <c r="W29" s="60">
        <f>W53</f>
        <v/>
      </c>
      <c r="X29" s="60">
        <f>X53</f>
        <v/>
      </c>
      <c r="Y29" s="60">
        <f>Y53</f>
        <v/>
      </c>
      <c r="Z29" s="60">
        <f>Z53</f>
        <v/>
      </c>
      <c r="AA29" s="60">
        <f>AA53</f>
        <v/>
      </c>
      <c r="AB29" s="60">
        <f>AB53</f>
        <v/>
      </c>
      <c r="AC29" s="60">
        <f>AC53</f>
        <v/>
      </c>
      <c r="AD29" s="60">
        <f>AD53</f>
        <v/>
      </c>
      <c r="AE29" s="60">
        <f>AE53</f>
        <v/>
      </c>
      <c r="AF29" s="60">
        <f>AF53</f>
        <v/>
      </c>
      <c r="AG29" s="60">
        <f>AG53</f>
        <v/>
      </c>
      <c r="AH29" s="60">
        <f>AH53</f>
        <v/>
      </c>
      <c r="AI29" s="60">
        <f>AI53</f>
        <v/>
      </c>
      <c r="AJ29" s="60">
        <f>AJ53</f>
        <v/>
      </c>
      <c r="AK29" s="60">
        <f>AK53</f>
        <v/>
      </c>
      <c r="AL29" s="60">
        <f>AL53</f>
        <v/>
      </c>
      <c r="AM29" s="60">
        <f>SUM(C29:N29)</f>
        <v/>
      </c>
      <c r="AN29" s="60">
        <f>SUM(O29:Z29)</f>
        <v/>
      </c>
      <c r="AO29" s="60">
        <f>SUM(AA29:AL29)</f>
        <v/>
      </c>
      <c r="AP29" s="60">
        <f>SUM(AM29:AO29)</f>
        <v/>
      </c>
    </row>
    <row r="30">
      <c r="A30" s="6" t="inlineStr">
        <is>
          <t>EBT</t>
        </is>
      </c>
      <c r="B30" s="24" t="inlineStr">
        <is>
          <t>€</t>
        </is>
      </c>
      <c r="C30" s="59">
        <f>C28-C29</f>
        <v/>
      </c>
      <c r="D30" s="59">
        <f>D28-D29</f>
        <v/>
      </c>
      <c r="E30" s="59">
        <f>E28-E29</f>
        <v/>
      </c>
      <c r="F30" s="59">
        <f>F28-F29</f>
        <v/>
      </c>
      <c r="G30" s="59">
        <f>G28-G29</f>
        <v/>
      </c>
      <c r="H30" s="59">
        <f>H28-H29</f>
        <v/>
      </c>
      <c r="I30" s="59">
        <f>I28-I29</f>
        <v/>
      </c>
      <c r="J30" s="59">
        <f>J28-J29</f>
        <v/>
      </c>
      <c r="K30" s="59">
        <f>K28-K29</f>
        <v/>
      </c>
      <c r="L30" s="59">
        <f>L28-L29</f>
        <v/>
      </c>
      <c r="M30" s="59">
        <f>M28-M29</f>
        <v/>
      </c>
      <c r="N30" s="59">
        <f>N28-N29</f>
        <v/>
      </c>
      <c r="O30" s="59">
        <f>O28-O29</f>
        <v/>
      </c>
      <c r="P30" s="59">
        <f>P28-P29</f>
        <v/>
      </c>
      <c r="Q30" s="59">
        <f>Q28-Q29</f>
        <v/>
      </c>
      <c r="R30" s="59">
        <f>R28-R29</f>
        <v/>
      </c>
      <c r="S30" s="59">
        <f>S28-S29</f>
        <v/>
      </c>
      <c r="T30" s="59">
        <f>T28-T29</f>
        <v/>
      </c>
      <c r="U30" s="59">
        <f>U28-U29</f>
        <v/>
      </c>
      <c r="V30" s="59">
        <f>V28-V29</f>
        <v/>
      </c>
      <c r="W30" s="59">
        <f>W28-W29</f>
        <v/>
      </c>
      <c r="X30" s="59">
        <f>X28-X29</f>
        <v/>
      </c>
      <c r="Y30" s="59">
        <f>Y28-Y29</f>
        <v/>
      </c>
      <c r="Z30" s="59">
        <f>Z28-Z29</f>
        <v/>
      </c>
      <c r="AA30" s="59">
        <f>AA28-AA29</f>
        <v/>
      </c>
      <c r="AB30" s="59">
        <f>AB28-AB29</f>
        <v/>
      </c>
      <c r="AC30" s="59">
        <f>AC28-AC29</f>
        <v/>
      </c>
      <c r="AD30" s="59">
        <f>AD28-AD29</f>
        <v/>
      </c>
      <c r="AE30" s="59">
        <f>AE28-AE29</f>
        <v/>
      </c>
      <c r="AF30" s="59">
        <f>AF28-AF29</f>
        <v/>
      </c>
      <c r="AG30" s="59">
        <f>AG28-AG29</f>
        <v/>
      </c>
      <c r="AH30" s="59">
        <f>AH28-AH29</f>
        <v/>
      </c>
      <c r="AI30" s="59">
        <f>AI28-AI29</f>
        <v/>
      </c>
      <c r="AJ30" s="59">
        <f>AJ28-AJ29</f>
        <v/>
      </c>
      <c r="AK30" s="59">
        <f>AK28-AK29</f>
        <v/>
      </c>
      <c r="AL30" s="59">
        <f>AL28-AL29</f>
        <v/>
      </c>
      <c r="AM30" s="59">
        <f>SUM(C30:N30)</f>
        <v/>
      </c>
      <c r="AN30" s="59">
        <f>SUM(O30:Z30)</f>
        <v/>
      </c>
      <c r="AO30" s="59">
        <f>SUM(AA30:AL30)</f>
        <v/>
      </c>
      <c r="AP30" s="59">
        <f>SUM(AM30:AO30)</f>
        <v/>
      </c>
    </row>
    <row r="31">
      <c r="A31" s="6" t="inlineStr">
        <is>
          <t>Impuestos</t>
        </is>
      </c>
      <c r="B31" s="24" t="inlineStr">
        <is>
          <t>€</t>
        </is>
      </c>
      <c r="C31" s="60">
        <f>IF(C7=1,$B$63/12,IF(C7=2,$C$63/12,$D$63/12))</f>
        <v/>
      </c>
      <c r="D31" s="60">
        <f>IF(D7=1,$B$63/12,IF(D7=2,$C$63/12,$D$63/12))</f>
        <v/>
      </c>
      <c r="E31" s="60">
        <f>IF(E7=1,$B$63/12,IF(E7=2,$C$63/12,$D$63/12))</f>
        <v/>
      </c>
      <c r="F31" s="60">
        <f>IF(F7=1,$B$63/12,IF(F7=2,$C$63/12,$D$63/12))</f>
        <v/>
      </c>
      <c r="G31" s="60">
        <f>IF(G7=1,$B$63/12,IF(G7=2,$C$63/12,$D$63/12))</f>
        <v/>
      </c>
      <c r="H31" s="60">
        <f>IF(H7=1,$B$63/12,IF(H7=2,$C$63/12,$D$63/12))</f>
        <v/>
      </c>
      <c r="I31" s="60">
        <f>IF(I7=1,$B$63/12,IF(I7=2,$C$63/12,$D$63/12))</f>
        <v/>
      </c>
      <c r="J31" s="60">
        <f>IF(J7=1,$B$63/12,IF(J7=2,$C$63/12,$D$63/12))</f>
        <v/>
      </c>
      <c r="K31" s="60">
        <f>IF(K7=1,$B$63/12,IF(K7=2,$C$63/12,$D$63/12))</f>
        <v/>
      </c>
      <c r="L31" s="60">
        <f>IF(L7=1,$B$63/12,IF(L7=2,$C$63/12,$D$63/12))</f>
        <v/>
      </c>
      <c r="M31" s="60">
        <f>IF(M7=1,$B$63/12,IF(M7=2,$C$63/12,$D$63/12))</f>
        <v/>
      </c>
      <c r="N31" s="60">
        <f>IF(N7=1,$B$63/12,IF(N7=2,$C$63/12,$D$63/12))</f>
        <v/>
      </c>
      <c r="O31" s="60">
        <f>IF(O7=1,$B$63/12,IF(O7=2,$C$63/12,$D$63/12))</f>
        <v/>
      </c>
      <c r="P31" s="60">
        <f>IF(P7=1,$B$63/12,IF(P7=2,$C$63/12,$D$63/12))</f>
        <v/>
      </c>
      <c r="Q31" s="60">
        <f>IF(Q7=1,$B$63/12,IF(Q7=2,$C$63/12,$D$63/12))</f>
        <v/>
      </c>
      <c r="R31" s="60">
        <f>IF(R7=1,$B$63/12,IF(R7=2,$C$63/12,$D$63/12))</f>
        <v/>
      </c>
      <c r="S31" s="60">
        <f>IF(S7=1,$B$63/12,IF(S7=2,$C$63/12,$D$63/12))</f>
        <v/>
      </c>
      <c r="T31" s="60">
        <f>IF(T7=1,$B$63/12,IF(T7=2,$C$63/12,$D$63/12))</f>
        <v/>
      </c>
      <c r="U31" s="60">
        <f>IF(U7=1,$B$63/12,IF(U7=2,$C$63/12,$D$63/12))</f>
        <v/>
      </c>
      <c r="V31" s="60">
        <f>IF(V7=1,$B$63/12,IF(V7=2,$C$63/12,$D$63/12))</f>
        <v/>
      </c>
      <c r="W31" s="60">
        <f>IF(W7=1,$B$63/12,IF(W7=2,$C$63/12,$D$63/12))</f>
        <v/>
      </c>
      <c r="X31" s="60">
        <f>IF(X7=1,$B$63/12,IF(X7=2,$C$63/12,$D$63/12))</f>
        <v/>
      </c>
      <c r="Y31" s="60">
        <f>IF(Y7=1,$B$63/12,IF(Y7=2,$C$63/12,$D$63/12))</f>
        <v/>
      </c>
      <c r="Z31" s="60">
        <f>IF(Z7=1,$B$63/12,IF(Z7=2,$C$63/12,$D$63/12))</f>
        <v/>
      </c>
      <c r="AA31" s="60">
        <f>IF(AA7=1,$B$63/12,IF(AA7=2,$C$63/12,$D$63/12))</f>
        <v/>
      </c>
      <c r="AB31" s="60">
        <f>IF(AB7=1,$B$63/12,IF(AB7=2,$C$63/12,$D$63/12))</f>
        <v/>
      </c>
      <c r="AC31" s="60">
        <f>IF(AC7=1,$B$63/12,IF(AC7=2,$C$63/12,$D$63/12))</f>
        <v/>
      </c>
      <c r="AD31" s="60">
        <f>IF(AD7=1,$B$63/12,IF(AD7=2,$C$63/12,$D$63/12))</f>
        <v/>
      </c>
      <c r="AE31" s="60">
        <f>IF(AE7=1,$B$63/12,IF(AE7=2,$C$63/12,$D$63/12))</f>
        <v/>
      </c>
      <c r="AF31" s="60">
        <f>IF(AF7=1,$B$63/12,IF(AF7=2,$C$63/12,$D$63/12))</f>
        <v/>
      </c>
      <c r="AG31" s="60">
        <f>IF(AG7=1,$B$63/12,IF(AG7=2,$C$63/12,$D$63/12))</f>
        <v/>
      </c>
      <c r="AH31" s="60">
        <f>IF(AH7=1,$B$63/12,IF(AH7=2,$C$63/12,$D$63/12))</f>
        <v/>
      </c>
      <c r="AI31" s="60">
        <f>IF(AI7=1,$B$63/12,IF(AI7=2,$C$63/12,$D$63/12))</f>
        <v/>
      </c>
      <c r="AJ31" s="60">
        <f>IF(AJ7=1,$B$63/12,IF(AJ7=2,$C$63/12,$D$63/12))</f>
        <v/>
      </c>
      <c r="AK31" s="60">
        <f>IF(AK7=1,$B$63/12,IF(AK7=2,$C$63/12,$D$63/12))</f>
        <v/>
      </c>
      <c r="AL31" s="60">
        <f>IF(AL7=1,$B$63/12,IF(AL7=2,$C$63/12,$D$63/12))</f>
        <v/>
      </c>
      <c r="AM31" s="60">
        <f>SUM(C31:N31)</f>
        <v/>
      </c>
      <c r="AN31" s="60">
        <f>SUM(O31:Z31)</f>
        <v/>
      </c>
      <c r="AO31" s="60">
        <f>SUM(AA31:AL31)</f>
        <v/>
      </c>
      <c r="AP31" s="60">
        <f>SUM(AM31:AO31)</f>
        <v/>
      </c>
    </row>
    <row r="32">
      <c r="A32" s="6" t="inlineStr">
        <is>
          <t>Beneficio neto</t>
        </is>
      </c>
      <c r="B32" s="24" t="inlineStr">
        <is>
          <t>€</t>
        </is>
      </c>
      <c r="C32" s="59">
        <f>C30-C31</f>
        <v/>
      </c>
      <c r="D32" s="59">
        <f>D30-D31</f>
        <v/>
      </c>
      <c r="E32" s="59">
        <f>E30-E31</f>
        <v/>
      </c>
      <c r="F32" s="59">
        <f>F30-F31</f>
        <v/>
      </c>
      <c r="G32" s="59">
        <f>G30-G31</f>
        <v/>
      </c>
      <c r="H32" s="59">
        <f>H30-H31</f>
        <v/>
      </c>
      <c r="I32" s="59">
        <f>I30-I31</f>
        <v/>
      </c>
      <c r="J32" s="59">
        <f>J30-J31</f>
        <v/>
      </c>
      <c r="K32" s="59">
        <f>K30-K31</f>
        <v/>
      </c>
      <c r="L32" s="59">
        <f>L30-L31</f>
        <v/>
      </c>
      <c r="M32" s="59">
        <f>M30-M31</f>
        <v/>
      </c>
      <c r="N32" s="59">
        <f>N30-N31</f>
        <v/>
      </c>
      <c r="O32" s="59">
        <f>O30-O31</f>
        <v/>
      </c>
      <c r="P32" s="59">
        <f>P30-P31</f>
        <v/>
      </c>
      <c r="Q32" s="59">
        <f>Q30-Q31</f>
        <v/>
      </c>
      <c r="R32" s="59">
        <f>R30-R31</f>
        <v/>
      </c>
      <c r="S32" s="59">
        <f>S30-S31</f>
        <v/>
      </c>
      <c r="T32" s="59">
        <f>T30-T31</f>
        <v/>
      </c>
      <c r="U32" s="59">
        <f>U30-U31</f>
        <v/>
      </c>
      <c r="V32" s="59">
        <f>V30-V31</f>
        <v/>
      </c>
      <c r="W32" s="59">
        <f>W30-W31</f>
        <v/>
      </c>
      <c r="X32" s="59">
        <f>X30-X31</f>
        <v/>
      </c>
      <c r="Y32" s="59">
        <f>Y30-Y31</f>
        <v/>
      </c>
      <c r="Z32" s="59">
        <f>Z30-Z31</f>
        <v/>
      </c>
      <c r="AA32" s="59">
        <f>AA30-AA31</f>
        <v/>
      </c>
      <c r="AB32" s="59">
        <f>AB30-AB31</f>
        <v/>
      </c>
      <c r="AC32" s="59">
        <f>AC30-AC31</f>
        <v/>
      </c>
      <c r="AD32" s="59">
        <f>AD30-AD31</f>
        <v/>
      </c>
      <c r="AE32" s="59">
        <f>AE30-AE31</f>
        <v/>
      </c>
      <c r="AF32" s="59">
        <f>AF30-AF31</f>
        <v/>
      </c>
      <c r="AG32" s="59">
        <f>AG30-AG31</f>
        <v/>
      </c>
      <c r="AH32" s="59">
        <f>AH30-AH31</f>
        <v/>
      </c>
      <c r="AI32" s="59">
        <f>AI30-AI31</f>
        <v/>
      </c>
      <c r="AJ32" s="59">
        <f>AJ30-AJ31</f>
        <v/>
      </c>
      <c r="AK32" s="59">
        <f>AK30-AK31</f>
        <v/>
      </c>
      <c r="AL32" s="59">
        <f>AL30-AL31</f>
        <v/>
      </c>
      <c r="AM32" s="59">
        <f>SUM(C32:N32)</f>
        <v/>
      </c>
      <c r="AN32" s="59">
        <f>SUM(O32:Z32)</f>
        <v/>
      </c>
      <c r="AO32" s="59">
        <f>SUM(AA32:AL32)</f>
        <v/>
      </c>
      <c r="AP32" s="59">
        <f>SUM(AM32:AO32)</f>
        <v/>
      </c>
    </row>
    <row r="33">
      <c r="A33" s="6" t="inlineStr">
        <is>
          <t>Margen bruto %</t>
        </is>
      </c>
      <c r="B33" s="24" t="inlineStr">
        <is>
          <t>%</t>
        </is>
      </c>
      <c r="C33" s="34">
        <f>IFERROR(C17/C15,0)</f>
        <v/>
      </c>
      <c r="D33" s="34">
        <f>IFERROR(D17/D15,0)</f>
        <v/>
      </c>
      <c r="E33" s="34">
        <f>IFERROR(E17/E15,0)</f>
        <v/>
      </c>
      <c r="F33" s="34">
        <f>IFERROR(F17/F15,0)</f>
        <v/>
      </c>
      <c r="G33" s="34">
        <f>IFERROR(G17/G15,0)</f>
        <v/>
      </c>
      <c r="H33" s="34">
        <f>IFERROR(H17/H15,0)</f>
        <v/>
      </c>
      <c r="I33" s="34">
        <f>IFERROR(I17/I15,0)</f>
        <v/>
      </c>
      <c r="J33" s="34">
        <f>IFERROR(J17/J15,0)</f>
        <v/>
      </c>
      <c r="K33" s="34">
        <f>IFERROR(K17/K15,0)</f>
        <v/>
      </c>
      <c r="L33" s="34">
        <f>IFERROR(L17/L15,0)</f>
        <v/>
      </c>
      <c r="M33" s="34">
        <f>IFERROR(M17/M15,0)</f>
        <v/>
      </c>
      <c r="N33" s="34">
        <f>IFERROR(N17/N15,0)</f>
        <v/>
      </c>
      <c r="O33" s="34">
        <f>IFERROR(O17/O15,0)</f>
        <v/>
      </c>
      <c r="P33" s="34">
        <f>IFERROR(P17/P15,0)</f>
        <v/>
      </c>
      <c r="Q33" s="34">
        <f>IFERROR(Q17/Q15,0)</f>
        <v/>
      </c>
      <c r="R33" s="34">
        <f>IFERROR(R17/R15,0)</f>
        <v/>
      </c>
      <c r="S33" s="34">
        <f>IFERROR(S17/S15,0)</f>
        <v/>
      </c>
      <c r="T33" s="34">
        <f>IFERROR(T17/T15,0)</f>
        <v/>
      </c>
      <c r="U33" s="34">
        <f>IFERROR(U17/U15,0)</f>
        <v/>
      </c>
      <c r="V33" s="34">
        <f>IFERROR(V17/V15,0)</f>
        <v/>
      </c>
      <c r="W33" s="34">
        <f>IFERROR(W17/W15,0)</f>
        <v/>
      </c>
      <c r="X33" s="34">
        <f>IFERROR(X17/X15,0)</f>
        <v/>
      </c>
      <c r="Y33" s="34">
        <f>IFERROR(Y17/Y15,0)</f>
        <v/>
      </c>
      <c r="Z33" s="34">
        <f>IFERROR(Z17/Z15,0)</f>
        <v/>
      </c>
      <c r="AA33" s="34">
        <f>IFERROR(AA17/AA15,0)</f>
        <v/>
      </c>
      <c r="AB33" s="34">
        <f>IFERROR(AB17/AB15,0)</f>
        <v/>
      </c>
      <c r="AC33" s="34">
        <f>IFERROR(AC17/AC15,0)</f>
        <v/>
      </c>
      <c r="AD33" s="34">
        <f>IFERROR(AD17/AD15,0)</f>
        <v/>
      </c>
      <c r="AE33" s="34">
        <f>IFERROR(AE17/AE15,0)</f>
        <v/>
      </c>
      <c r="AF33" s="34">
        <f>IFERROR(AF17/AF15,0)</f>
        <v/>
      </c>
      <c r="AG33" s="34">
        <f>IFERROR(AG17/AG15,0)</f>
        <v/>
      </c>
      <c r="AH33" s="34">
        <f>IFERROR(AH17/AH15,0)</f>
        <v/>
      </c>
      <c r="AI33" s="34">
        <f>IFERROR(AI17/AI15,0)</f>
        <v/>
      </c>
      <c r="AJ33" s="34">
        <f>IFERROR(AJ17/AJ15,0)</f>
        <v/>
      </c>
      <c r="AK33" s="34">
        <f>IFERROR(AK17/AK15,0)</f>
        <v/>
      </c>
      <c r="AL33" s="34">
        <f>IFERROR(AL17/AL15,0)</f>
        <v/>
      </c>
      <c r="AM33" s="34">
        <f>IFERROR(AM17/AM15,0)</f>
        <v/>
      </c>
      <c r="AN33" s="34">
        <f>IFERROR(AN17/AN15,0)</f>
        <v/>
      </c>
      <c r="AO33" s="34">
        <f>IFERROR(AO17/AO15,0)</f>
        <v/>
      </c>
      <c r="AP33" s="34">
        <f>IFERROR(AP17/AP15,0)</f>
        <v/>
      </c>
    </row>
    <row r="34">
      <c r="A34" s="6" t="inlineStr">
        <is>
          <t>Margen EBITDA %</t>
        </is>
      </c>
      <c r="B34" s="24" t="inlineStr">
        <is>
          <t>%</t>
        </is>
      </c>
      <c r="C34" s="34">
        <f>IFERROR(C26/C15,0)</f>
        <v/>
      </c>
      <c r="D34" s="34">
        <f>IFERROR(D26/D15,0)</f>
        <v/>
      </c>
      <c r="E34" s="34">
        <f>IFERROR(E26/E15,0)</f>
        <v/>
      </c>
      <c r="F34" s="34">
        <f>IFERROR(F26/F15,0)</f>
        <v/>
      </c>
      <c r="G34" s="34">
        <f>IFERROR(G26/G15,0)</f>
        <v/>
      </c>
      <c r="H34" s="34">
        <f>IFERROR(H26/H15,0)</f>
        <v/>
      </c>
      <c r="I34" s="34">
        <f>IFERROR(I26/I15,0)</f>
        <v/>
      </c>
      <c r="J34" s="34">
        <f>IFERROR(J26/J15,0)</f>
        <v/>
      </c>
      <c r="K34" s="34">
        <f>IFERROR(K26/K15,0)</f>
        <v/>
      </c>
      <c r="L34" s="34">
        <f>IFERROR(L26/L15,0)</f>
        <v/>
      </c>
      <c r="M34" s="34">
        <f>IFERROR(M26/M15,0)</f>
        <v/>
      </c>
      <c r="N34" s="34">
        <f>IFERROR(N26/N15,0)</f>
        <v/>
      </c>
      <c r="O34" s="34">
        <f>IFERROR(O26/O15,0)</f>
        <v/>
      </c>
      <c r="P34" s="34">
        <f>IFERROR(P26/P15,0)</f>
        <v/>
      </c>
      <c r="Q34" s="34">
        <f>IFERROR(Q26/Q15,0)</f>
        <v/>
      </c>
      <c r="R34" s="34">
        <f>IFERROR(R26/R15,0)</f>
        <v/>
      </c>
      <c r="S34" s="34">
        <f>IFERROR(S26/S15,0)</f>
        <v/>
      </c>
      <c r="T34" s="34">
        <f>IFERROR(T26/T15,0)</f>
        <v/>
      </c>
      <c r="U34" s="34">
        <f>IFERROR(U26/U15,0)</f>
        <v/>
      </c>
      <c r="V34" s="34">
        <f>IFERROR(V26/V15,0)</f>
        <v/>
      </c>
      <c r="W34" s="34">
        <f>IFERROR(W26/W15,0)</f>
        <v/>
      </c>
      <c r="X34" s="34">
        <f>IFERROR(X26/X15,0)</f>
        <v/>
      </c>
      <c r="Y34" s="34">
        <f>IFERROR(Y26/Y15,0)</f>
        <v/>
      </c>
      <c r="Z34" s="34">
        <f>IFERROR(Z26/Z15,0)</f>
        <v/>
      </c>
      <c r="AA34" s="34">
        <f>IFERROR(AA26/AA15,0)</f>
        <v/>
      </c>
      <c r="AB34" s="34">
        <f>IFERROR(AB26/AB15,0)</f>
        <v/>
      </c>
      <c r="AC34" s="34">
        <f>IFERROR(AC26/AC15,0)</f>
        <v/>
      </c>
      <c r="AD34" s="34">
        <f>IFERROR(AD26/AD15,0)</f>
        <v/>
      </c>
      <c r="AE34" s="34">
        <f>IFERROR(AE26/AE15,0)</f>
        <v/>
      </c>
      <c r="AF34" s="34">
        <f>IFERROR(AF26/AF15,0)</f>
        <v/>
      </c>
      <c r="AG34" s="34">
        <f>IFERROR(AG26/AG15,0)</f>
        <v/>
      </c>
      <c r="AH34" s="34">
        <f>IFERROR(AH26/AH15,0)</f>
        <v/>
      </c>
      <c r="AI34" s="34">
        <f>IFERROR(AI26/AI15,0)</f>
        <v/>
      </c>
      <c r="AJ34" s="34">
        <f>IFERROR(AJ26/AJ15,0)</f>
        <v/>
      </c>
      <c r="AK34" s="34">
        <f>IFERROR(AK26/AK15,0)</f>
        <v/>
      </c>
      <c r="AL34" s="34">
        <f>IFERROR(AL26/AL15,0)</f>
        <v/>
      </c>
      <c r="AM34" s="34">
        <f>IFERROR(AM26/AM15,0)</f>
        <v/>
      </c>
      <c r="AN34" s="34">
        <f>IFERROR(AN26/AN15,0)</f>
        <v/>
      </c>
      <c r="AO34" s="34">
        <f>IFERROR(AO26/AO15,0)</f>
        <v/>
      </c>
      <c r="AP34" s="34">
        <f>IFERROR(AP26/AP15,0)</f>
        <v/>
      </c>
    </row>
    <row r="35">
      <c r="A35" s="6" t="inlineStr">
        <is>
          <t>Margen neto %</t>
        </is>
      </c>
      <c r="B35" s="24" t="inlineStr">
        <is>
          <t>%</t>
        </is>
      </c>
      <c r="C35" s="34">
        <f>IFERROR(C32/C15,0)</f>
        <v/>
      </c>
      <c r="D35" s="34">
        <f>IFERROR(D32/D15,0)</f>
        <v/>
      </c>
      <c r="E35" s="34">
        <f>IFERROR(E32/E15,0)</f>
        <v/>
      </c>
      <c r="F35" s="34">
        <f>IFERROR(F32/F15,0)</f>
        <v/>
      </c>
      <c r="G35" s="34">
        <f>IFERROR(G32/G15,0)</f>
        <v/>
      </c>
      <c r="H35" s="34">
        <f>IFERROR(H32/H15,0)</f>
        <v/>
      </c>
      <c r="I35" s="34">
        <f>IFERROR(I32/I15,0)</f>
        <v/>
      </c>
      <c r="J35" s="34">
        <f>IFERROR(J32/J15,0)</f>
        <v/>
      </c>
      <c r="K35" s="34">
        <f>IFERROR(K32/K15,0)</f>
        <v/>
      </c>
      <c r="L35" s="34">
        <f>IFERROR(L32/L15,0)</f>
        <v/>
      </c>
      <c r="M35" s="34">
        <f>IFERROR(M32/M15,0)</f>
        <v/>
      </c>
      <c r="N35" s="34">
        <f>IFERROR(N32/N15,0)</f>
        <v/>
      </c>
      <c r="O35" s="34">
        <f>IFERROR(O32/O15,0)</f>
        <v/>
      </c>
      <c r="P35" s="34">
        <f>IFERROR(P32/P15,0)</f>
        <v/>
      </c>
      <c r="Q35" s="34">
        <f>IFERROR(Q32/Q15,0)</f>
        <v/>
      </c>
      <c r="R35" s="34">
        <f>IFERROR(R32/R15,0)</f>
        <v/>
      </c>
      <c r="S35" s="34">
        <f>IFERROR(S32/S15,0)</f>
        <v/>
      </c>
      <c r="T35" s="34">
        <f>IFERROR(T32/T15,0)</f>
        <v/>
      </c>
      <c r="U35" s="34">
        <f>IFERROR(U32/U15,0)</f>
        <v/>
      </c>
      <c r="V35" s="34">
        <f>IFERROR(V32/V15,0)</f>
        <v/>
      </c>
      <c r="W35" s="34">
        <f>IFERROR(W32/W15,0)</f>
        <v/>
      </c>
      <c r="X35" s="34">
        <f>IFERROR(X32/X15,0)</f>
        <v/>
      </c>
      <c r="Y35" s="34">
        <f>IFERROR(Y32/Y15,0)</f>
        <v/>
      </c>
      <c r="Z35" s="34">
        <f>IFERROR(Z32/Z15,0)</f>
        <v/>
      </c>
      <c r="AA35" s="34">
        <f>IFERROR(AA32/AA15,0)</f>
        <v/>
      </c>
      <c r="AB35" s="34">
        <f>IFERROR(AB32/AB15,0)</f>
        <v/>
      </c>
      <c r="AC35" s="34">
        <f>IFERROR(AC32/AC15,0)</f>
        <v/>
      </c>
      <c r="AD35" s="34">
        <f>IFERROR(AD32/AD15,0)</f>
        <v/>
      </c>
      <c r="AE35" s="34">
        <f>IFERROR(AE32/AE15,0)</f>
        <v/>
      </c>
      <c r="AF35" s="34">
        <f>IFERROR(AF32/AF15,0)</f>
        <v/>
      </c>
      <c r="AG35" s="34">
        <f>IFERROR(AG32/AG15,0)</f>
        <v/>
      </c>
      <c r="AH35" s="34">
        <f>IFERROR(AH32/AH15,0)</f>
        <v/>
      </c>
      <c r="AI35" s="34">
        <f>IFERROR(AI32/AI15,0)</f>
        <v/>
      </c>
      <c r="AJ35" s="34">
        <f>IFERROR(AJ32/AJ15,0)</f>
        <v/>
      </c>
      <c r="AK35" s="34">
        <f>IFERROR(AK32/AK15,0)</f>
        <v/>
      </c>
      <c r="AL35" s="34">
        <f>IFERROR(AL32/AL15,0)</f>
        <v/>
      </c>
      <c r="AM35" s="34">
        <f>IFERROR(AM32/AM15,0)</f>
        <v/>
      </c>
      <c r="AN35" s="34">
        <f>IFERROR(AN32/AN15,0)</f>
        <v/>
      </c>
      <c r="AO35" s="34">
        <f>IFERROR(AO32/AO15,0)</f>
        <v/>
      </c>
      <c r="AP35" s="34">
        <f>IFERROR(AP32/AP15,0)</f>
        <v/>
      </c>
    </row>
    <row r="36">
      <c r="A36" s="6" t="inlineStr">
        <is>
          <t>Check P&amp;L (debe ser 0)</t>
        </is>
      </c>
      <c r="B36" s="24" t="inlineStr">
        <is>
          <t>€</t>
        </is>
      </c>
      <c r="C36" s="37">
        <f>C17-C25-C26</f>
        <v/>
      </c>
      <c r="D36" s="37">
        <f>D17-D25-D26</f>
        <v/>
      </c>
      <c r="E36" s="37">
        <f>E17-E25-E26</f>
        <v/>
      </c>
      <c r="F36" s="37">
        <f>F17-F25-F26</f>
        <v/>
      </c>
      <c r="G36" s="37">
        <f>G17-G25-G26</f>
        <v/>
      </c>
      <c r="H36" s="37">
        <f>H17-H25-H26</f>
        <v/>
      </c>
      <c r="I36" s="37">
        <f>I17-I25-I26</f>
        <v/>
      </c>
      <c r="J36" s="37">
        <f>J17-J25-J26</f>
        <v/>
      </c>
      <c r="K36" s="37">
        <f>K17-K25-K26</f>
        <v/>
      </c>
      <c r="L36" s="37">
        <f>L17-L25-L26</f>
        <v/>
      </c>
      <c r="M36" s="37">
        <f>M17-M25-M26</f>
        <v/>
      </c>
      <c r="N36" s="37">
        <f>N17-N25-N26</f>
        <v/>
      </c>
      <c r="O36" s="37">
        <f>O17-O25-O26</f>
        <v/>
      </c>
      <c r="P36" s="37">
        <f>P17-P25-P26</f>
        <v/>
      </c>
      <c r="Q36" s="37">
        <f>Q17-Q25-Q26</f>
        <v/>
      </c>
      <c r="R36" s="37">
        <f>R17-R25-R26</f>
        <v/>
      </c>
      <c r="S36" s="37">
        <f>S17-S25-S26</f>
        <v/>
      </c>
      <c r="T36" s="37">
        <f>T17-T25-T26</f>
        <v/>
      </c>
      <c r="U36" s="37">
        <f>U17-U25-U26</f>
        <v/>
      </c>
      <c r="V36" s="37">
        <f>V17-V25-V26</f>
        <v/>
      </c>
      <c r="W36" s="37">
        <f>W17-W25-W26</f>
        <v/>
      </c>
      <c r="X36" s="37">
        <f>X17-X25-X26</f>
        <v/>
      </c>
      <c r="Y36" s="37">
        <f>Y17-Y25-Y26</f>
        <v/>
      </c>
      <c r="Z36" s="37">
        <f>Z17-Z25-Z26</f>
        <v/>
      </c>
      <c r="AA36" s="37">
        <f>AA17-AA25-AA26</f>
        <v/>
      </c>
      <c r="AB36" s="37">
        <f>AB17-AB25-AB26</f>
        <v/>
      </c>
      <c r="AC36" s="37">
        <f>AC17-AC25-AC26</f>
        <v/>
      </c>
      <c r="AD36" s="37">
        <f>AD17-AD25-AD26</f>
        <v/>
      </c>
      <c r="AE36" s="37">
        <f>AE17-AE25-AE26</f>
        <v/>
      </c>
      <c r="AF36" s="37">
        <f>AF17-AF25-AF26</f>
        <v/>
      </c>
      <c r="AG36" s="37">
        <f>AG17-AG25-AG26</f>
        <v/>
      </c>
      <c r="AH36" s="37">
        <f>AH17-AH25-AH26</f>
        <v/>
      </c>
      <c r="AI36" s="37">
        <f>AI17-AI25-AI26</f>
        <v/>
      </c>
      <c r="AJ36" s="37">
        <f>AJ17-AJ25-AJ26</f>
        <v/>
      </c>
      <c r="AK36" s="37">
        <f>AK17-AK25-AK26</f>
        <v/>
      </c>
      <c r="AL36" s="37">
        <f>AL17-AL25-AL26</f>
        <v/>
      </c>
      <c r="AM36" s="37">
        <f>AM17-AM25-AM26</f>
        <v/>
      </c>
      <c r="AN36" s="37">
        <f>AN17-AN25-AN26</f>
        <v/>
      </c>
      <c r="AO36" s="37">
        <f>AO17-AO25-AO26</f>
        <v/>
      </c>
      <c r="AP36" s="37">
        <f>SUM(AM36:AO36)</f>
        <v/>
      </c>
    </row>
    <row r="37" ht="20" customHeight="1">
      <c r="A37" s="16" t="inlineStr">
        <is>
          <t>CAJA</t>
        </is>
      </c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</row>
    <row r="38">
      <c r="A38" s="6" t="inlineStr">
        <is>
          <t>Caja inicial</t>
        </is>
      </c>
      <c r="B38" s="24" t="inlineStr">
        <is>
          <t>€</t>
        </is>
      </c>
      <c r="C38" s="60">
        <f>OpeningCash</f>
        <v/>
      </c>
      <c r="D38" s="60">
        <f>C48</f>
        <v/>
      </c>
      <c r="E38" s="60">
        <f>D48</f>
        <v/>
      </c>
      <c r="F38" s="60">
        <f>E48</f>
        <v/>
      </c>
      <c r="G38" s="60">
        <f>F48</f>
        <v/>
      </c>
      <c r="H38" s="60">
        <f>G48</f>
        <v/>
      </c>
      <c r="I38" s="60">
        <f>H48</f>
        <v/>
      </c>
      <c r="J38" s="60">
        <f>I48</f>
        <v/>
      </c>
      <c r="K38" s="60">
        <f>J48</f>
        <v/>
      </c>
      <c r="L38" s="60">
        <f>K48</f>
        <v/>
      </c>
      <c r="M38" s="60">
        <f>L48</f>
        <v/>
      </c>
      <c r="N38" s="60">
        <f>M48</f>
        <v/>
      </c>
      <c r="O38" s="60">
        <f>N48</f>
        <v/>
      </c>
      <c r="P38" s="60">
        <f>O48</f>
        <v/>
      </c>
      <c r="Q38" s="60">
        <f>P48</f>
        <v/>
      </c>
      <c r="R38" s="60">
        <f>Q48</f>
        <v/>
      </c>
      <c r="S38" s="60">
        <f>R48</f>
        <v/>
      </c>
      <c r="T38" s="60">
        <f>S48</f>
        <v/>
      </c>
      <c r="U38" s="60">
        <f>T48</f>
        <v/>
      </c>
      <c r="V38" s="60">
        <f>U48</f>
        <v/>
      </c>
      <c r="W38" s="60">
        <f>V48</f>
        <v/>
      </c>
      <c r="X38" s="60">
        <f>W48</f>
        <v/>
      </c>
      <c r="Y38" s="60">
        <f>X48</f>
        <v/>
      </c>
      <c r="Z38" s="60">
        <f>Y48</f>
        <v/>
      </c>
      <c r="AA38" s="60">
        <f>Z48</f>
        <v/>
      </c>
      <c r="AB38" s="60">
        <f>AA48</f>
        <v/>
      </c>
      <c r="AC38" s="60">
        <f>AB48</f>
        <v/>
      </c>
      <c r="AD38" s="60">
        <f>AC48</f>
        <v/>
      </c>
      <c r="AE38" s="60">
        <f>AD48</f>
        <v/>
      </c>
      <c r="AF38" s="60">
        <f>AE48</f>
        <v/>
      </c>
      <c r="AG38" s="60">
        <f>AF48</f>
        <v/>
      </c>
      <c r="AH38" s="60">
        <f>AG48</f>
        <v/>
      </c>
      <c r="AI38" s="60">
        <f>AH48</f>
        <v/>
      </c>
      <c r="AJ38" s="60">
        <f>AI48</f>
        <v/>
      </c>
      <c r="AK38" s="60">
        <f>AJ48</f>
        <v/>
      </c>
      <c r="AL38" s="60">
        <f>AK48</f>
        <v/>
      </c>
      <c r="AM38" s="60">
        <f>N38</f>
        <v/>
      </c>
      <c r="AN38" s="60">
        <f>Z38</f>
        <v/>
      </c>
      <c r="AO38" s="60">
        <f>AL38</f>
        <v/>
      </c>
      <c r="AP38" s="60">
        <f>AO38</f>
        <v/>
      </c>
    </row>
    <row r="39">
      <c r="A39" s="6" t="inlineStr">
        <is>
          <t>Capital circulante</t>
        </is>
      </c>
      <c r="B39" s="24" t="inlineStr">
        <is>
          <t>€</t>
        </is>
      </c>
      <c r="C39" s="60">
        <f>C16*(InventoryDays-PayableDays)/365</f>
        <v/>
      </c>
      <c r="D39" s="60">
        <f>D16*(InventoryDays-PayableDays)/365</f>
        <v/>
      </c>
      <c r="E39" s="60">
        <f>E16*(InventoryDays-PayableDays)/365</f>
        <v/>
      </c>
      <c r="F39" s="60">
        <f>F16*(InventoryDays-PayableDays)/365</f>
        <v/>
      </c>
      <c r="G39" s="60">
        <f>G16*(InventoryDays-PayableDays)/365</f>
        <v/>
      </c>
      <c r="H39" s="60">
        <f>H16*(InventoryDays-PayableDays)/365</f>
        <v/>
      </c>
      <c r="I39" s="60">
        <f>I16*(InventoryDays-PayableDays)/365</f>
        <v/>
      </c>
      <c r="J39" s="60">
        <f>J16*(InventoryDays-PayableDays)/365</f>
        <v/>
      </c>
      <c r="K39" s="60">
        <f>K16*(InventoryDays-PayableDays)/365</f>
        <v/>
      </c>
      <c r="L39" s="60">
        <f>L16*(InventoryDays-PayableDays)/365</f>
        <v/>
      </c>
      <c r="M39" s="60">
        <f>M16*(InventoryDays-PayableDays)/365</f>
        <v/>
      </c>
      <c r="N39" s="60">
        <f>N16*(InventoryDays-PayableDays)/365</f>
        <v/>
      </c>
      <c r="O39" s="60">
        <f>O16*(InventoryDays-PayableDays)/365</f>
        <v/>
      </c>
      <c r="P39" s="60">
        <f>P16*(InventoryDays-PayableDays)/365</f>
        <v/>
      </c>
      <c r="Q39" s="60">
        <f>Q16*(InventoryDays-PayableDays)/365</f>
        <v/>
      </c>
      <c r="R39" s="60">
        <f>R16*(InventoryDays-PayableDays)/365</f>
        <v/>
      </c>
      <c r="S39" s="60">
        <f>S16*(InventoryDays-PayableDays)/365</f>
        <v/>
      </c>
      <c r="T39" s="60">
        <f>T16*(InventoryDays-PayableDays)/365</f>
        <v/>
      </c>
      <c r="U39" s="60">
        <f>U16*(InventoryDays-PayableDays)/365</f>
        <v/>
      </c>
      <c r="V39" s="60">
        <f>V16*(InventoryDays-PayableDays)/365</f>
        <v/>
      </c>
      <c r="W39" s="60">
        <f>W16*(InventoryDays-PayableDays)/365</f>
        <v/>
      </c>
      <c r="X39" s="60">
        <f>X16*(InventoryDays-PayableDays)/365</f>
        <v/>
      </c>
      <c r="Y39" s="60">
        <f>Y16*(InventoryDays-PayableDays)/365</f>
        <v/>
      </c>
      <c r="Z39" s="60">
        <f>Z16*(InventoryDays-PayableDays)/365</f>
        <v/>
      </c>
      <c r="AA39" s="60">
        <f>AA16*(InventoryDays-PayableDays)/365</f>
        <v/>
      </c>
      <c r="AB39" s="60">
        <f>AB16*(InventoryDays-PayableDays)/365</f>
        <v/>
      </c>
      <c r="AC39" s="60">
        <f>AC16*(InventoryDays-PayableDays)/365</f>
        <v/>
      </c>
      <c r="AD39" s="60">
        <f>AD16*(InventoryDays-PayableDays)/365</f>
        <v/>
      </c>
      <c r="AE39" s="60">
        <f>AE16*(InventoryDays-PayableDays)/365</f>
        <v/>
      </c>
      <c r="AF39" s="60">
        <f>AF16*(InventoryDays-PayableDays)/365</f>
        <v/>
      </c>
      <c r="AG39" s="60">
        <f>AG16*(InventoryDays-PayableDays)/365</f>
        <v/>
      </c>
      <c r="AH39" s="60">
        <f>AH16*(InventoryDays-PayableDays)/365</f>
        <v/>
      </c>
      <c r="AI39" s="60">
        <f>AI16*(InventoryDays-PayableDays)/365</f>
        <v/>
      </c>
      <c r="AJ39" s="60">
        <f>AJ16*(InventoryDays-PayableDays)/365</f>
        <v/>
      </c>
      <c r="AK39" s="60">
        <f>AK16*(InventoryDays-PayableDays)/365</f>
        <v/>
      </c>
      <c r="AL39" s="60">
        <f>AL16*(InventoryDays-PayableDays)/365</f>
        <v/>
      </c>
      <c r="AM39" s="60">
        <f>N39</f>
        <v/>
      </c>
      <c r="AN39" s="60">
        <f>Z39</f>
        <v/>
      </c>
      <c r="AO39" s="60">
        <f>AL39</f>
        <v/>
      </c>
      <c r="AP39" s="60">
        <f>AO39</f>
        <v/>
      </c>
    </row>
    <row r="40">
      <c r="A40" s="6" t="inlineStr">
        <is>
          <t>Δ capital circulante</t>
        </is>
      </c>
      <c r="B40" s="24" t="inlineStr">
        <is>
          <t>€</t>
        </is>
      </c>
      <c r="C40" s="60">
        <f>C39-WC0</f>
        <v/>
      </c>
      <c r="D40" s="60">
        <f>D39-C39</f>
        <v/>
      </c>
      <c r="E40" s="60">
        <f>E39-D39</f>
        <v/>
      </c>
      <c r="F40" s="60">
        <f>F39-E39</f>
        <v/>
      </c>
      <c r="G40" s="60">
        <f>G39-F39</f>
        <v/>
      </c>
      <c r="H40" s="60">
        <f>H39-G39</f>
        <v/>
      </c>
      <c r="I40" s="60">
        <f>I39-H39</f>
        <v/>
      </c>
      <c r="J40" s="60">
        <f>J39-I39</f>
        <v/>
      </c>
      <c r="K40" s="60">
        <f>K39-J39</f>
        <v/>
      </c>
      <c r="L40" s="60">
        <f>L39-K39</f>
        <v/>
      </c>
      <c r="M40" s="60">
        <f>M39-L39</f>
        <v/>
      </c>
      <c r="N40" s="60">
        <f>N39-M39</f>
        <v/>
      </c>
      <c r="O40" s="60">
        <f>O39-N39</f>
        <v/>
      </c>
      <c r="P40" s="60">
        <f>P39-O39</f>
        <v/>
      </c>
      <c r="Q40" s="60">
        <f>Q39-P39</f>
        <v/>
      </c>
      <c r="R40" s="60">
        <f>R39-Q39</f>
        <v/>
      </c>
      <c r="S40" s="60">
        <f>S39-R39</f>
        <v/>
      </c>
      <c r="T40" s="60">
        <f>T39-S39</f>
        <v/>
      </c>
      <c r="U40" s="60">
        <f>U39-T39</f>
        <v/>
      </c>
      <c r="V40" s="60">
        <f>V39-U39</f>
        <v/>
      </c>
      <c r="W40" s="60">
        <f>W39-V39</f>
        <v/>
      </c>
      <c r="X40" s="60">
        <f>X39-W39</f>
        <v/>
      </c>
      <c r="Y40" s="60">
        <f>Y39-X39</f>
        <v/>
      </c>
      <c r="Z40" s="60">
        <f>Z39-Y39</f>
        <v/>
      </c>
      <c r="AA40" s="60">
        <f>AA39-Z39</f>
        <v/>
      </c>
      <c r="AB40" s="60">
        <f>AB39-AA39</f>
        <v/>
      </c>
      <c r="AC40" s="60">
        <f>AC39-AB39</f>
        <v/>
      </c>
      <c r="AD40" s="60">
        <f>AD39-AC39</f>
        <v/>
      </c>
      <c r="AE40" s="60">
        <f>AE39-AD39</f>
        <v/>
      </c>
      <c r="AF40" s="60">
        <f>AF39-AE39</f>
        <v/>
      </c>
      <c r="AG40" s="60">
        <f>AG39-AF39</f>
        <v/>
      </c>
      <c r="AH40" s="60">
        <f>AH39-AG39</f>
        <v/>
      </c>
      <c r="AI40" s="60">
        <f>AI39-AH39</f>
        <v/>
      </c>
      <c r="AJ40" s="60">
        <f>AJ39-AI39</f>
        <v/>
      </c>
      <c r="AK40" s="60">
        <f>AK39-AJ39</f>
        <v/>
      </c>
      <c r="AL40" s="60">
        <f>AL39-AK39</f>
        <v/>
      </c>
      <c r="AM40" s="60">
        <f>SUM(C40:N40)</f>
        <v/>
      </c>
      <c r="AN40" s="60">
        <f>SUM(O40:Z40)</f>
        <v/>
      </c>
      <c r="AO40" s="60">
        <f>SUM(AA40:AL40)</f>
        <v/>
      </c>
      <c r="AP40" s="60">
        <f>SUM(AM40:AO40)</f>
        <v/>
      </c>
    </row>
    <row r="41">
      <c r="A41" s="6" t="inlineStr">
        <is>
          <t>Capex de mantenimiento</t>
        </is>
      </c>
      <c r="B41" s="24" t="inlineStr">
        <is>
          <t>€</t>
        </is>
      </c>
      <c r="C41" s="60">
        <f>C15*MaintenanceCapexPct</f>
        <v/>
      </c>
      <c r="D41" s="60">
        <f>D15*MaintenanceCapexPct</f>
        <v/>
      </c>
      <c r="E41" s="60">
        <f>E15*MaintenanceCapexPct</f>
        <v/>
      </c>
      <c r="F41" s="60">
        <f>F15*MaintenanceCapexPct</f>
        <v/>
      </c>
      <c r="G41" s="60">
        <f>G15*MaintenanceCapexPct</f>
        <v/>
      </c>
      <c r="H41" s="60">
        <f>H15*MaintenanceCapexPct</f>
        <v/>
      </c>
      <c r="I41" s="60">
        <f>I15*MaintenanceCapexPct</f>
        <v/>
      </c>
      <c r="J41" s="60">
        <f>J15*MaintenanceCapexPct</f>
        <v/>
      </c>
      <c r="K41" s="60">
        <f>K15*MaintenanceCapexPct</f>
        <v/>
      </c>
      <c r="L41" s="60">
        <f>L15*MaintenanceCapexPct</f>
        <v/>
      </c>
      <c r="M41" s="60">
        <f>M15*MaintenanceCapexPct</f>
        <v/>
      </c>
      <c r="N41" s="60">
        <f>N15*MaintenanceCapexPct</f>
        <v/>
      </c>
      <c r="O41" s="60">
        <f>O15*MaintenanceCapexPct</f>
        <v/>
      </c>
      <c r="P41" s="60">
        <f>P15*MaintenanceCapexPct</f>
        <v/>
      </c>
      <c r="Q41" s="60">
        <f>Q15*MaintenanceCapexPct</f>
        <v/>
      </c>
      <c r="R41" s="60">
        <f>R15*MaintenanceCapexPct</f>
        <v/>
      </c>
      <c r="S41" s="60">
        <f>S15*MaintenanceCapexPct</f>
        <v/>
      </c>
      <c r="T41" s="60">
        <f>T15*MaintenanceCapexPct</f>
        <v/>
      </c>
      <c r="U41" s="60">
        <f>U15*MaintenanceCapexPct</f>
        <v/>
      </c>
      <c r="V41" s="60">
        <f>V15*MaintenanceCapexPct</f>
        <v/>
      </c>
      <c r="W41" s="60">
        <f>W15*MaintenanceCapexPct</f>
        <v/>
      </c>
      <c r="X41" s="60">
        <f>X15*MaintenanceCapexPct</f>
        <v/>
      </c>
      <c r="Y41" s="60">
        <f>Y15*MaintenanceCapexPct</f>
        <v/>
      </c>
      <c r="Z41" s="60">
        <f>Z15*MaintenanceCapexPct</f>
        <v/>
      </c>
      <c r="AA41" s="60">
        <f>AA15*MaintenanceCapexPct</f>
        <v/>
      </c>
      <c r="AB41" s="60">
        <f>AB15*MaintenanceCapexPct</f>
        <v/>
      </c>
      <c r="AC41" s="60">
        <f>AC15*MaintenanceCapexPct</f>
        <v/>
      </c>
      <c r="AD41" s="60">
        <f>AD15*MaintenanceCapexPct</f>
        <v/>
      </c>
      <c r="AE41" s="60">
        <f>AE15*MaintenanceCapexPct</f>
        <v/>
      </c>
      <c r="AF41" s="60">
        <f>AF15*MaintenanceCapexPct</f>
        <v/>
      </c>
      <c r="AG41" s="60">
        <f>AG15*MaintenanceCapexPct</f>
        <v/>
      </c>
      <c r="AH41" s="60">
        <f>AH15*MaintenanceCapexPct</f>
        <v/>
      </c>
      <c r="AI41" s="60">
        <f>AI15*MaintenanceCapexPct</f>
        <v/>
      </c>
      <c r="AJ41" s="60">
        <f>AJ15*MaintenanceCapexPct</f>
        <v/>
      </c>
      <c r="AK41" s="60">
        <f>AK15*MaintenanceCapexPct</f>
        <v/>
      </c>
      <c r="AL41" s="60">
        <f>AL15*MaintenanceCapexPct</f>
        <v/>
      </c>
      <c r="AM41" s="60">
        <f>SUM(C41:N41)</f>
        <v/>
      </c>
      <c r="AN41" s="60">
        <f>SUM(O41:Z41)</f>
        <v/>
      </c>
      <c r="AO41" s="60">
        <f>SUM(AA41:AL41)</f>
        <v/>
      </c>
      <c r="AP41" s="60">
        <f>SUM(AM41:AO41)</f>
        <v/>
      </c>
    </row>
    <row r="42">
      <c r="A42" s="6" t="inlineStr">
        <is>
          <t>Impuesto teórico sin deuda</t>
        </is>
      </c>
      <c r="B42" s="24" t="inlineStr">
        <is>
          <t>€</t>
        </is>
      </c>
      <c r="C42" s="60">
        <f>IF(C7=1,$B$68/12,IF(C7=2,$C$68/12,$D$68/12))</f>
        <v/>
      </c>
      <c r="D42" s="60">
        <f>IF(D7=1,$B$68/12,IF(D7=2,$C$68/12,$D$68/12))</f>
        <v/>
      </c>
      <c r="E42" s="60">
        <f>IF(E7=1,$B$68/12,IF(E7=2,$C$68/12,$D$68/12))</f>
        <v/>
      </c>
      <c r="F42" s="60">
        <f>IF(F7=1,$B$68/12,IF(F7=2,$C$68/12,$D$68/12))</f>
        <v/>
      </c>
      <c r="G42" s="60">
        <f>IF(G7=1,$B$68/12,IF(G7=2,$C$68/12,$D$68/12))</f>
        <v/>
      </c>
      <c r="H42" s="60">
        <f>IF(H7=1,$B$68/12,IF(H7=2,$C$68/12,$D$68/12))</f>
        <v/>
      </c>
      <c r="I42" s="60">
        <f>IF(I7=1,$B$68/12,IF(I7=2,$C$68/12,$D$68/12))</f>
        <v/>
      </c>
      <c r="J42" s="60">
        <f>IF(J7=1,$B$68/12,IF(J7=2,$C$68/12,$D$68/12))</f>
        <v/>
      </c>
      <c r="K42" s="60">
        <f>IF(K7=1,$B$68/12,IF(K7=2,$C$68/12,$D$68/12))</f>
        <v/>
      </c>
      <c r="L42" s="60">
        <f>IF(L7=1,$B$68/12,IF(L7=2,$C$68/12,$D$68/12))</f>
        <v/>
      </c>
      <c r="M42" s="60">
        <f>IF(M7=1,$B$68/12,IF(M7=2,$C$68/12,$D$68/12))</f>
        <v/>
      </c>
      <c r="N42" s="60">
        <f>IF(N7=1,$B$68/12,IF(N7=2,$C$68/12,$D$68/12))</f>
        <v/>
      </c>
      <c r="O42" s="60">
        <f>IF(O7=1,$B$68/12,IF(O7=2,$C$68/12,$D$68/12))</f>
        <v/>
      </c>
      <c r="P42" s="60">
        <f>IF(P7=1,$B$68/12,IF(P7=2,$C$68/12,$D$68/12))</f>
        <v/>
      </c>
      <c r="Q42" s="60">
        <f>IF(Q7=1,$B$68/12,IF(Q7=2,$C$68/12,$D$68/12))</f>
        <v/>
      </c>
      <c r="R42" s="60">
        <f>IF(R7=1,$B$68/12,IF(R7=2,$C$68/12,$D$68/12))</f>
        <v/>
      </c>
      <c r="S42" s="60">
        <f>IF(S7=1,$B$68/12,IF(S7=2,$C$68/12,$D$68/12))</f>
        <v/>
      </c>
      <c r="T42" s="60">
        <f>IF(T7=1,$B$68/12,IF(T7=2,$C$68/12,$D$68/12))</f>
        <v/>
      </c>
      <c r="U42" s="60">
        <f>IF(U7=1,$B$68/12,IF(U7=2,$C$68/12,$D$68/12))</f>
        <v/>
      </c>
      <c r="V42" s="60">
        <f>IF(V7=1,$B$68/12,IF(V7=2,$C$68/12,$D$68/12))</f>
        <v/>
      </c>
      <c r="W42" s="60">
        <f>IF(W7=1,$B$68/12,IF(W7=2,$C$68/12,$D$68/12))</f>
        <v/>
      </c>
      <c r="X42" s="60">
        <f>IF(X7=1,$B$68/12,IF(X7=2,$C$68/12,$D$68/12))</f>
        <v/>
      </c>
      <c r="Y42" s="60">
        <f>IF(Y7=1,$B$68/12,IF(Y7=2,$C$68/12,$D$68/12))</f>
        <v/>
      </c>
      <c r="Z42" s="60">
        <f>IF(Z7=1,$B$68/12,IF(Z7=2,$C$68/12,$D$68/12))</f>
        <v/>
      </c>
      <c r="AA42" s="60">
        <f>IF(AA7=1,$B$68/12,IF(AA7=2,$C$68/12,$D$68/12))</f>
        <v/>
      </c>
      <c r="AB42" s="60">
        <f>IF(AB7=1,$B$68/12,IF(AB7=2,$C$68/12,$D$68/12))</f>
        <v/>
      </c>
      <c r="AC42" s="60">
        <f>IF(AC7=1,$B$68/12,IF(AC7=2,$C$68/12,$D$68/12))</f>
        <v/>
      </c>
      <c r="AD42" s="60">
        <f>IF(AD7=1,$B$68/12,IF(AD7=2,$C$68/12,$D$68/12))</f>
        <v/>
      </c>
      <c r="AE42" s="60">
        <f>IF(AE7=1,$B$68/12,IF(AE7=2,$C$68/12,$D$68/12))</f>
        <v/>
      </c>
      <c r="AF42" s="60">
        <f>IF(AF7=1,$B$68/12,IF(AF7=2,$C$68/12,$D$68/12))</f>
        <v/>
      </c>
      <c r="AG42" s="60">
        <f>IF(AG7=1,$B$68/12,IF(AG7=2,$C$68/12,$D$68/12))</f>
        <v/>
      </c>
      <c r="AH42" s="60">
        <f>IF(AH7=1,$B$68/12,IF(AH7=2,$C$68/12,$D$68/12))</f>
        <v/>
      </c>
      <c r="AI42" s="60">
        <f>IF(AI7=1,$B$68/12,IF(AI7=2,$C$68/12,$D$68/12))</f>
        <v/>
      </c>
      <c r="AJ42" s="60">
        <f>IF(AJ7=1,$B$68/12,IF(AJ7=2,$C$68/12,$D$68/12))</f>
        <v/>
      </c>
      <c r="AK42" s="60">
        <f>IF(AK7=1,$B$68/12,IF(AK7=2,$C$68/12,$D$68/12))</f>
        <v/>
      </c>
      <c r="AL42" s="60">
        <f>IF(AL7=1,$B$68/12,IF(AL7=2,$C$68/12,$D$68/12))</f>
        <v/>
      </c>
      <c r="AM42" s="60">
        <f>SUM(C42:N42)</f>
        <v/>
      </c>
      <c r="AN42" s="60">
        <f>SUM(O42:Z42)</f>
        <v/>
      </c>
      <c r="AO42" s="60">
        <f>SUM(AA42:AL42)</f>
        <v/>
      </c>
      <c r="AP42" s="60">
        <f>SUM(AM42:AO42)</f>
        <v/>
      </c>
    </row>
    <row r="43">
      <c r="A43" s="6" t="inlineStr">
        <is>
          <t>FCFF</t>
        </is>
      </c>
      <c r="B43" s="24" t="inlineStr">
        <is>
          <t>€</t>
        </is>
      </c>
      <c r="C43" s="59">
        <f>C26-C42-C41-C40</f>
        <v/>
      </c>
      <c r="D43" s="59">
        <f>D26-D42-D41-D40</f>
        <v/>
      </c>
      <c r="E43" s="59">
        <f>E26-E42-E41-E40</f>
        <v/>
      </c>
      <c r="F43" s="59">
        <f>F26-F42-F41-F40</f>
        <v/>
      </c>
      <c r="G43" s="59">
        <f>G26-G42-G41-G40</f>
        <v/>
      </c>
      <c r="H43" s="59">
        <f>H26-H42-H41-H40</f>
        <v/>
      </c>
      <c r="I43" s="59">
        <f>I26-I42-I41-I40</f>
        <v/>
      </c>
      <c r="J43" s="59">
        <f>J26-J42-J41-J40</f>
        <v/>
      </c>
      <c r="K43" s="59">
        <f>K26-K42-K41-K40</f>
        <v/>
      </c>
      <c r="L43" s="59">
        <f>L26-L42-L41-L40</f>
        <v/>
      </c>
      <c r="M43" s="59">
        <f>M26-M42-M41-M40</f>
        <v/>
      </c>
      <c r="N43" s="59">
        <f>N26-N42-N41-N40</f>
        <v/>
      </c>
      <c r="O43" s="59">
        <f>O26-O42-O41-O40</f>
        <v/>
      </c>
      <c r="P43" s="59">
        <f>P26-P42-P41-P40</f>
        <v/>
      </c>
      <c r="Q43" s="59">
        <f>Q26-Q42-Q41-Q40</f>
        <v/>
      </c>
      <c r="R43" s="59">
        <f>R26-R42-R41-R40</f>
        <v/>
      </c>
      <c r="S43" s="59">
        <f>S26-S42-S41-S40</f>
        <v/>
      </c>
      <c r="T43" s="59">
        <f>T26-T42-T41-T40</f>
        <v/>
      </c>
      <c r="U43" s="59">
        <f>U26-U42-U41-U40</f>
        <v/>
      </c>
      <c r="V43" s="59">
        <f>V26-V42-V41-V40</f>
        <v/>
      </c>
      <c r="W43" s="59">
        <f>W26-W42-W41-W40</f>
        <v/>
      </c>
      <c r="X43" s="59">
        <f>X26-X42-X41-X40</f>
        <v/>
      </c>
      <c r="Y43" s="59">
        <f>Y26-Y42-Y41-Y40</f>
        <v/>
      </c>
      <c r="Z43" s="59">
        <f>Z26-Z42-Z41-Z40</f>
        <v/>
      </c>
      <c r="AA43" s="59">
        <f>AA26-AA42-AA41-AA40</f>
        <v/>
      </c>
      <c r="AB43" s="59">
        <f>AB26-AB42-AB41-AB40</f>
        <v/>
      </c>
      <c r="AC43" s="59">
        <f>AC26-AC42-AC41-AC40</f>
        <v/>
      </c>
      <c r="AD43" s="59">
        <f>AD26-AD42-AD41-AD40</f>
        <v/>
      </c>
      <c r="AE43" s="59">
        <f>AE26-AE42-AE41-AE40</f>
        <v/>
      </c>
      <c r="AF43" s="59">
        <f>AF26-AF42-AF41-AF40</f>
        <v/>
      </c>
      <c r="AG43" s="59">
        <f>AG26-AG42-AG41-AG40</f>
        <v/>
      </c>
      <c r="AH43" s="59">
        <f>AH26-AH42-AH41-AH40</f>
        <v/>
      </c>
      <c r="AI43" s="59">
        <f>AI26-AI42-AI41-AI40</f>
        <v/>
      </c>
      <c r="AJ43" s="59">
        <f>AJ26-AJ42-AJ41-AJ40</f>
        <v/>
      </c>
      <c r="AK43" s="59">
        <f>AK26-AK42-AK41-AK40</f>
        <v/>
      </c>
      <c r="AL43" s="59">
        <f>AL26-AL42-AL41-AL40</f>
        <v/>
      </c>
      <c r="AM43" s="59">
        <f>SUM(C43:N43)</f>
        <v/>
      </c>
      <c r="AN43" s="59">
        <f>SUM(O43:Z43)</f>
        <v/>
      </c>
      <c r="AO43" s="59">
        <f>SUM(AA43:AL43)</f>
        <v/>
      </c>
      <c r="AP43" s="59">
        <f>SUM(AM43:AO43)</f>
        <v/>
      </c>
    </row>
    <row r="44">
      <c r="A44" s="6" t="inlineStr">
        <is>
          <t>Intereses</t>
        </is>
      </c>
      <c r="B44" s="24" t="inlineStr">
        <is>
          <t>€</t>
        </is>
      </c>
      <c r="C44" s="60">
        <f>C53</f>
        <v/>
      </c>
      <c r="D44" s="60">
        <f>D53</f>
        <v/>
      </c>
      <c r="E44" s="60">
        <f>E53</f>
        <v/>
      </c>
      <c r="F44" s="60">
        <f>F53</f>
        <v/>
      </c>
      <c r="G44" s="60">
        <f>G53</f>
        <v/>
      </c>
      <c r="H44" s="60">
        <f>H53</f>
        <v/>
      </c>
      <c r="I44" s="60">
        <f>I53</f>
        <v/>
      </c>
      <c r="J44" s="60">
        <f>J53</f>
        <v/>
      </c>
      <c r="K44" s="60">
        <f>K53</f>
        <v/>
      </c>
      <c r="L44" s="60">
        <f>L53</f>
        <v/>
      </c>
      <c r="M44" s="60">
        <f>M53</f>
        <v/>
      </c>
      <c r="N44" s="60">
        <f>N53</f>
        <v/>
      </c>
      <c r="O44" s="60">
        <f>O53</f>
        <v/>
      </c>
      <c r="P44" s="60">
        <f>P53</f>
        <v/>
      </c>
      <c r="Q44" s="60">
        <f>Q53</f>
        <v/>
      </c>
      <c r="R44" s="60">
        <f>R53</f>
        <v/>
      </c>
      <c r="S44" s="60">
        <f>S53</f>
        <v/>
      </c>
      <c r="T44" s="60">
        <f>T53</f>
        <v/>
      </c>
      <c r="U44" s="60">
        <f>U53</f>
        <v/>
      </c>
      <c r="V44" s="60">
        <f>V53</f>
        <v/>
      </c>
      <c r="W44" s="60">
        <f>W53</f>
        <v/>
      </c>
      <c r="X44" s="60">
        <f>X53</f>
        <v/>
      </c>
      <c r="Y44" s="60">
        <f>Y53</f>
        <v/>
      </c>
      <c r="Z44" s="60">
        <f>Z53</f>
        <v/>
      </c>
      <c r="AA44" s="60">
        <f>AA53</f>
        <v/>
      </c>
      <c r="AB44" s="60">
        <f>AB53</f>
        <v/>
      </c>
      <c r="AC44" s="60">
        <f>AC53</f>
        <v/>
      </c>
      <c r="AD44" s="60">
        <f>AD53</f>
        <v/>
      </c>
      <c r="AE44" s="60">
        <f>AE53</f>
        <v/>
      </c>
      <c r="AF44" s="60">
        <f>AF53</f>
        <v/>
      </c>
      <c r="AG44" s="60">
        <f>AG53</f>
        <v/>
      </c>
      <c r="AH44" s="60">
        <f>AH53</f>
        <v/>
      </c>
      <c r="AI44" s="60">
        <f>AI53</f>
        <v/>
      </c>
      <c r="AJ44" s="60">
        <f>AJ53</f>
        <v/>
      </c>
      <c r="AK44" s="60">
        <f>AK53</f>
        <v/>
      </c>
      <c r="AL44" s="60">
        <f>AL53</f>
        <v/>
      </c>
      <c r="AM44" s="60">
        <f>SUM(C44:N44)</f>
        <v/>
      </c>
      <c r="AN44" s="60">
        <f>SUM(O44:Z44)</f>
        <v/>
      </c>
      <c r="AO44" s="60">
        <f>SUM(AA44:AL44)</f>
        <v/>
      </c>
      <c r="AP44" s="60">
        <f>SUM(AM44:AO44)</f>
        <v/>
      </c>
    </row>
    <row r="45">
      <c r="A45" s="6" t="inlineStr">
        <is>
          <t>Escudo fiscal</t>
        </is>
      </c>
      <c r="B45" s="24" t="inlineStr">
        <is>
          <t>€</t>
        </is>
      </c>
      <c r="C45" s="60">
        <f>C42-C31</f>
        <v/>
      </c>
      <c r="D45" s="60">
        <f>D42-D31</f>
        <v/>
      </c>
      <c r="E45" s="60">
        <f>E42-E31</f>
        <v/>
      </c>
      <c r="F45" s="60">
        <f>F42-F31</f>
        <v/>
      </c>
      <c r="G45" s="60">
        <f>G42-G31</f>
        <v/>
      </c>
      <c r="H45" s="60">
        <f>H42-H31</f>
        <v/>
      </c>
      <c r="I45" s="60">
        <f>I42-I31</f>
        <v/>
      </c>
      <c r="J45" s="60">
        <f>J42-J31</f>
        <v/>
      </c>
      <c r="K45" s="60">
        <f>K42-K31</f>
        <v/>
      </c>
      <c r="L45" s="60">
        <f>L42-L31</f>
        <v/>
      </c>
      <c r="M45" s="60">
        <f>M42-M31</f>
        <v/>
      </c>
      <c r="N45" s="60">
        <f>N42-N31</f>
        <v/>
      </c>
      <c r="O45" s="60">
        <f>O42-O31</f>
        <v/>
      </c>
      <c r="P45" s="60">
        <f>P42-P31</f>
        <v/>
      </c>
      <c r="Q45" s="60">
        <f>Q42-Q31</f>
        <v/>
      </c>
      <c r="R45" s="60">
        <f>R42-R31</f>
        <v/>
      </c>
      <c r="S45" s="60">
        <f>S42-S31</f>
        <v/>
      </c>
      <c r="T45" s="60">
        <f>T42-T31</f>
        <v/>
      </c>
      <c r="U45" s="60">
        <f>U42-U31</f>
        <v/>
      </c>
      <c r="V45" s="60">
        <f>V42-V31</f>
        <v/>
      </c>
      <c r="W45" s="60">
        <f>W42-W31</f>
        <v/>
      </c>
      <c r="X45" s="60">
        <f>X42-X31</f>
        <v/>
      </c>
      <c r="Y45" s="60">
        <f>Y42-Y31</f>
        <v/>
      </c>
      <c r="Z45" s="60">
        <f>Z42-Z31</f>
        <v/>
      </c>
      <c r="AA45" s="60">
        <f>AA42-AA31</f>
        <v/>
      </c>
      <c r="AB45" s="60">
        <f>AB42-AB31</f>
        <v/>
      </c>
      <c r="AC45" s="60">
        <f>AC42-AC31</f>
        <v/>
      </c>
      <c r="AD45" s="60">
        <f>AD42-AD31</f>
        <v/>
      </c>
      <c r="AE45" s="60">
        <f>AE42-AE31</f>
        <v/>
      </c>
      <c r="AF45" s="60">
        <f>AF42-AF31</f>
        <v/>
      </c>
      <c r="AG45" s="60">
        <f>AG42-AG31</f>
        <v/>
      </c>
      <c r="AH45" s="60">
        <f>AH42-AH31</f>
        <v/>
      </c>
      <c r="AI45" s="60">
        <f>AI42-AI31</f>
        <v/>
      </c>
      <c r="AJ45" s="60">
        <f>AJ42-AJ31</f>
        <v/>
      </c>
      <c r="AK45" s="60">
        <f>AK42-AK31</f>
        <v/>
      </c>
      <c r="AL45" s="60">
        <f>AL42-AL31</f>
        <v/>
      </c>
      <c r="AM45" s="60">
        <f>SUM(C45:N45)</f>
        <v/>
      </c>
      <c r="AN45" s="60">
        <f>SUM(O45:Z45)</f>
        <v/>
      </c>
      <c r="AO45" s="60">
        <f>SUM(AA45:AL45)</f>
        <v/>
      </c>
      <c r="AP45" s="60">
        <f>SUM(AM45:AO45)</f>
        <v/>
      </c>
    </row>
    <row r="46">
      <c r="A46" s="6" t="inlineStr">
        <is>
          <t>Principal</t>
        </is>
      </c>
      <c r="B46" s="24" t="inlineStr">
        <is>
          <t>€</t>
        </is>
      </c>
      <c r="C46" s="60">
        <f>C54</f>
        <v/>
      </c>
      <c r="D46" s="60">
        <f>D54</f>
        <v/>
      </c>
      <c r="E46" s="60">
        <f>E54</f>
        <v/>
      </c>
      <c r="F46" s="60">
        <f>F54</f>
        <v/>
      </c>
      <c r="G46" s="60">
        <f>G54</f>
        <v/>
      </c>
      <c r="H46" s="60">
        <f>H54</f>
        <v/>
      </c>
      <c r="I46" s="60">
        <f>I54</f>
        <v/>
      </c>
      <c r="J46" s="60">
        <f>J54</f>
        <v/>
      </c>
      <c r="K46" s="60">
        <f>K54</f>
        <v/>
      </c>
      <c r="L46" s="60">
        <f>L54</f>
        <v/>
      </c>
      <c r="M46" s="60">
        <f>M54</f>
        <v/>
      </c>
      <c r="N46" s="60">
        <f>N54</f>
        <v/>
      </c>
      <c r="O46" s="60">
        <f>O54</f>
        <v/>
      </c>
      <c r="P46" s="60">
        <f>P54</f>
        <v/>
      </c>
      <c r="Q46" s="60">
        <f>Q54</f>
        <v/>
      </c>
      <c r="R46" s="60">
        <f>R54</f>
        <v/>
      </c>
      <c r="S46" s="60">
        <f>S54</f>
        <v/>
      </c>
      <c r="T46" s="60">
        <f>T54</f>
        <v/>
      </c>
      <c r="U46" s="60">
        <f>U54</f>
        <v/>
      </c>
      <c r="V46" s="60">
        <f>V54</f>
        <v/>
      </c>
      <c r="W46" s="60">
        <f>W54</f>
        <v/>
      </c>
      <c r="X46" s="60">
        <f>X54</f>
        <v/>
      </c>
      <c r="Y46" s="60">
        <f>Y54</f>
        <v/>
      </c>
      <c r="Z46" s="60">
        <f>Z54</f>
        <v/>
      </c>
      <c r="AA46" s="60">
        <f>AA54</f>
        <v/>
      </c>
      <c r="AB46" s="60">
        <f>AB54</f>
        <v/>
      </c>
      <c r="AC46" s="60">
        <f>AC54</f>
        <v/>
      </c>
      <c r="AD46" s="60">
        <f>AD54</f>
        <v/>
      </c>
      <c r="AE46" s="60">
        <f>AE54</f>
        <v/>
      </c>
      <c r="AF46" s="60">
        <f>AF54</f>
        <v/>
      </c>
      <c r="AG46" s="60">
        <f>AG54</f>
        <v/>
      </c>
      <c r="AH46" s="60">
        <f>AH54</f>
        <v/>
      </c>
      <c r="AI46" s="60">
        <f>AI54</f>
        <v/>
      </c>
      <c r="AJ46" s="60">
        <f>AJ54</f>
        <v/>
      </c>
      <c r="AK46" s="60">
        <f>AK54</f>
        <v/>
      </c>
      <c r="AL46" s="60">
        <f>AL54</f>
        <v/>
      </c>
      <c r="AM46" s="60">
        <f>SUM(C46:N46)</f>
        <v/>
      </c>
      <c r="AN46" s="60">
        <f>SUM(O46:Z46)</f>
        <v/>
      </c>
      <c r="AO46" s="60">
        <f>SUM(AA46:AL46)</f>
        <v/>
      </c>
      <c r="AP46" s="60">
        <f>SUM(AM46:AO46)</f>
        <v/>
      </c>
    </row>
    <row r="47">
      <c r="A47" s="6" t="inlineStr">
        <is>
          <t>FCFE</t>
        </is>
      </c>
      <c r="B47" s="24" t="inlineStr">
        <is>
          <t>€</t>
        </is>
      </c>
      <c r="C47" s="59">
        <f>C43-C44+C45-C46</f>
        <v/>
      </c>
      <c r="D47" s="59">
        <f>D43-D44+D45-D46</f>
        <v/>
      </c>
      <c r="E47" s="59">
        <f>E43-E44+E45-E46</f>
        <v/>
      </c>
      <c r="F47" s="59">
        <f>F43-F44+F45-F46</f>
        <v/>
      </c>
      <c r="G47" s="59">
        <f>G43-G44+G45-G46</f>
        <v/>
      </c>
      <c r="H47" s="59">
        <f>H43-H44+H45-H46</f>
        <v/>
      </c>
      <c r="I47" s="59">
        <f>I43-I44+I45-I46</f>
        <v/>
      </c>
      <c r="J47" s="59">
        <f>J43-J44+J45-J46</f>
        <v/>
      </c>
      <c r="K47" s="59">
        <f>K43-K44+K45-K46</f>
        <v/>
      </c>
      <c r="L47" s="59">
        <f>L43-L44+L45-L46</f>
        <v/>
      </c>
      <c r="M47" s="59">
        <f>M43-M44+M45-M46</f>
        <v/>
      </c>
      <c r="N47" s="59">
        <f>N43-N44+N45-N46</f>
        <v/>
      </c>
      <c r="O47" s="59">
        <f>O43-O44+O45-O46</f>
        <v/>
      </c>
      <c r="P47" s="59">
        <f>P43-P44+P45-P46</f>
        <v/>
      </c>
      <c r="Q47" s="59">
        <f>Q43-Q44+Q45-Q46</f>
        <v/>
      </c>
      <c r="R47" s="59">
        <f>R43-R44+R45-R46</f>
        <v/>
      </c>
      <c r="S47" s="59">
        <f>S43-S44+S45-S46</f>
        <v/>
      </c>
      <c r="T47" s="59">
        <f>T43-T44+T45-T46</f>
        <v/>
      </c>
      <c r="U47" s="59">
        <f>U43-U44+U45-U46</f>
        <v/>
      </c>
      <c r="V47" s="59">
        <f>V43-V44+V45-V46</f>
        <v/>
      </c>
      <c r="W47" s="59">
        <f>W43-W44+W45-W46</f>
        <v/>
      </c>
      <c r="X47" s="59">
        <f>X43-X44+X45-X46</f>
        <v/>
      </c>
      <c r="Y47" s="59">
        <f>Y43-Y44+Y45-Y46</f>
        <v/>
      </c>
      <c r="Z47" s="59">
        <f>Z43-Z44+Z45-Z46</f>
        <v/>
      </c>
      <c r="AA47" s="59">
        <f>AA43-AA44+AA45-AA46</f>
        <v/>
      </c>
      <c r="AB47" s="59">
        <f>AB43-AB44+AB45-AB46</f>
        <v/>
      </c>
      <c r="AC47" s="59">
        <f>AC43-AC44+AC45-AC46</f>
        <v/>
      </c>
      <c r="AD47" s="59">
        <f>AD43-AD44+AD45-AD46</f>
        <v/>
      </c>
      <c r="AE47" s="59">
        <f>AE43-AE44+AE45-AE46</f>
        <v/>
      </c>
      <c r="AF47" s="59">
        <f>AF43-AF44+AF45-AF46</f>
        <v/>
      </c>
      <c r="AG47" s="59">
        <f>AG43-AG44+AG45-AG46</f>
        <v/>
      </c>
      <c r="AH47" s="59">
        <f>AH43-AH44+AH45-AH46</f>
        <v/>
      </c>
      <c r="AI47" s="59">
        <f>AI43-AI44+AI45-AI46</f>
        <v/>
      </c>
      <c r="AJ47" s="59">
        <f>AJ43-AJ44+AJ45-AJ46</f>
        <v/>
      </c>
      <c r="AK47" s="59">
        <f>AK43-AK44+AK45-AK46</f>
        <v/>
      </c>
      <c r="AL47" s="59">
        <f>AL43-AL44+AL45-AL46</f>
        <v/>
      </c>
      <c r="AM47" s="59">
        <f>SUM(C47:N47)</f>
        <v/>
      </c>
      <c r="AN47" s="59">
        <f>SUM(O47:Z47)</f>
        <v/>
      </c>
      <c r="AO47" s="59">
        <f>SUM(AA47:AL47)</f>
        <v/>
      </c>
      <c r="AP47" s="59">
        <f>SUM(AM47:AO47)</f>
        <v/>
      </c>
    </row>
    <row r="48">
      <c r="A48" s="6" t="inlineStr">
        <is>
          <t>Caja final</t>
        </is>
      </c>
      <c r="B48" s="24" t="inlineStr">
        <is>
          <t>€</t>
        </is>
      </c>
      <c r="C48" s="59">
        <f>C38+C47</f>
        <v/>
      </c>
      <c r="D48" s="59">
        <f>D38+D47</f>
        <v/>
      </c>
      <c r="E48" s="59">
        <f>E38+E47</f>
        <v/>
      </c>
      <c r="F48" s="59">
        <f>F38+F47</f>
        <v/>
      </c>
      <c r="G48" s="59">
        <f>G38+G47</f>
        <v/>
      </c>
      <c r="H48" s="59">
        <f>H38+H47</f>
        <v/>
      </c>
      <c r="I48" s="59">
        <f>I38+I47</f>
        <v/>
      </c>
      <c r="J48" s="59">
        <f>J38+J47</f>
        <v/>
      </c>
      <c r="K48" s="59">
        <f>K38+K47</f>
        <v/>
      </c>
      <c r="L48" s="59">
        <f>L38+L47</f>
        <v/>
      </c>
      <c r="M48" s="59">
        <f>M38+M47</f>
        <v/>
      </c>
      <c r="N48" s="59">
        <f>N38+N47</f>
        <v/>
      </c>
      <c r="O48" s="59">
        <f>O38+O47</f>
        <v/>
      </c>
      <c r="P48" s="59">
        <f>P38+P47</f>
        <v/>
      </c>
      <c r="Q48" s="59">
        <f>Q38+Q47</f>
        <v/>
      </c>
      <c r="R48" s="59">
        <f>R38+R47</f>
        <v/>
      </c>
      <c r="S48" s="59">
        <f>S38+S47</f>
        <v/>
      </c>
      <c r="T48" s="59">
        <f>T38+T47</f>
        <v/>
      </c>
      <c r="U48" s="59">
        <f>U38+U47</f>
        <v/>
      </c>
      <c r="V48" s="59">
        <f>V38+V47</f>
        <v/>
      </c>
      <c r="W48" s="59">
        <f>W38+W47</f>
        <v/>
      </c>
      <c r="X48" s="59">
        <f>X38+X47</f>
        <v/>
      </c>
      <c r="Y48" s="59">
        <f>Y38+Y47</f>
        <v/>
      </c>
      <c r="Z48" s="59">
        <f>Z38+Z47</f>
        <v/>
      </c>
      <c r="AA48" s="59">
        <f>AA38+AA47</f>
        <v/>
      </c>
      <c r="AB48" s="59">
        <f>AB38+AB47</f>
        <v/>
      </c>
      <c r="AC48" s="59">
        <f>AC38+AC47</f>
        <v/>
      </c>
      <c r="AD48" s="59">
        <f>AD38+AD47</f>
        <v/>
      </c>
      <c r="AE48" s="59">
        <f>AE38+AE47</f>
        <v/>
      </c>
      <c r="AF48" s="59">
        <f>AF38+AF47</f>
        <v/>
      </c>
      <c r="AG48" s="59">
        <f>AG38+AG47</f>
        <v/>
      </c>
      <c r="AH48" s="59">
        <f>AH38+AH47</f>
        <v/>
      </c>
      <c r="AI48" s="59">
        <f>AI38+AI47</f>
        <v/>
      </c>
      <c r="AJ48" s="59">
        <f>AJ38+AJ47</f>
        <v/>
      </c>
      <c r="AK48" s="59">
        <f>AK38+AK47</f>
        <v/>
      </c>
      <c r="AL48" s="59">
        <f>AL38+AL47</f>
        <v/>
      </c>
      <c r="AM48" s="59">
        <f>N48</f>
        <v/>
      </c>
      <c r="AN48" s="59">
        <f>Z48</f>
        <v/>
      </c>
      <c r="AO48" s="59">
        <f>AL48</f>
        <v/>
      </c>
      <c r="AP48" s="59">
        <f>AO48</f>
        <v/>
      </c>
    </row>
    <row r="49">
      <c r="A49" s="6" t="inlineStr">
        <is>
          <t>Check caja mínima</t>
        </is>
      </c>
      <c r="B49" s="24" t="inlineStr">
        <is>
          <t>texto</t>
        </is>
      </c>
      <c r="C49" s="61">
        <f>IF(C48&lt;MinCash,"Alerta","OK")</f>
        <v/>
      </c>
      <c r="D49" s="61">
        <f>IF(D48&lt;MinCash,"Alerta","OK")</f>
        <v/>
      </c>
      <c r="E49" s="61">
        <f>IF(E48&lt;MinCash,"Alerta","OK")</f>
        <v/>
      </c>
      <c r="F49" s="61">
        <f>IF(F48&lt;MinCash,"Alerta","OK")</f>
        <v/>
      </c>
      <c r="G49" s="61">
        <f>IF(G48&lt;MinCash,"Alerta","OK")</f>
        <v/>
      </c>
      <c r="H49" s="61">
        <f>IF(H48&lt;MinCash,"Alerta","OK")</f>
        <v/>
      </c>
      <c r="I49" s="61">
        <f>IF(I48&lt;MinCash,"Alerta","OK")</f>
        <v/>
      </c>
      <c r="J49" s="61">
        <f>IF(J48&lt;MinCash,"Alerta","OK")</f>
        <v/>
      </c>
      <c r="K49" s="61">
        <f>IF(K48&lt;MinCash,"Alerta","OK")</f>
        <v/>
      </c>
      <c r="L49" s="61">
        <f>IF(L48&lt;MinCash,"Alerta","OK")</f>
        <v/>
      </c>
      <c r="M49" s="61">
        <f>IF(M48&lt;MinCash,"Alerta","OK")</f>
        <v/>
      </c>
      <c r="N49" s="61">
        <f>IF(N48&lt;MinCash,"Alerta","OK")</f>
        <v/>
      </c>
      <c r="O49" s="61">
        <f>IF(O48&lt;MinCash,"Alerta","OK")</f>
        <v/>
      </c>
      <c r="P49" s="61">
        <f>IF(P48&lt;MinCash,"Alerta","OK")</f>
        <v/>
      </c>
      <c r="Q49" s="61">
        <f>IF(Q48&lt;MinCash,"Alerta","OK")</f>
        <v/>
      </c>
      <c r="R49" s="61">
        <f>IF(R48&lt;MinCash,"Alerta","OK")</f>
        <v/>
      </c>
      <c r="S49" s="61">
        <f>IF(S48&lt;MinCash,"Alerta","OK")</f>
        <v/>
      </c>
      <c r="T49" s="61">
        <f>IF(T48&lt;MinCash,"Alerta","OK")</f>
        <v/>
      </c>
      <c r="U49" s="61">
        <f>IF(U48&lt;MinCash,"Alerta","OK")</f>
        <v/>
      </c>
      <c r="V49" s="61">
        <f>IF(V48&lt;MinCash,"Alerta","OK")</f>
        <v/>
      </c>
      <c r="W49" s="61">
        <f>IF(W48&lt;MinCash,"Alerta","OK")</f>
        <v/>
      </c>
      <c r="X49" s="61">
        <f>IF(X48&lt;MinCash,"Alerta","OK")</f>
        <v/>
      </c>
      <c r="Y49" s="61">
        <f>IF(Y48&lt;MinCash,"Alerta","OK")</f>
        <v/>
      </c>
      <c r="Z49" s="61">
        <f>IF(Z48&lt;MinCash,"Alerta","OK")</f>
        <v/>
      </c>
      <c r="AA49" s="61">
        <f>IF(AA48&lt;MinCash,"Alerta","OK")</f>
        <v/>
      </c>
      <c r="AB49" s="61">
        <f>IF(AB48&lt;MinCash,"Alerta","OK")</f>
        <v/>
      </c>
      <c r="AC49" s="61">
        <f>IF(AC48&lt;MinCash,"Alerta","OK")</f>
        <v/>
      </c>
      <c r="AD49" s="61">
        <f>IF(AD48&lt;MinCash,"Alerta","OK")</f>
        <v/>
      </c>
      <c r="AE49" s="61">
        <f>IF(AE48&lt;MinCash,"Alerta","OK")</f>
        <v/>
      </c>
      <c r="AF49" s="61">
        <f>IF(AF48&lt;MinCash,"Alerta","OK")</f>
        <v/>
      </c>
      <c r="AG49" s="61">
        <f>IF(AG48&lt;MinCash,"Alerta","OK")</f>
        <v/>
      </c>
      <c r="AH49" s="61">
        <f>IF(AH48&lt;MinCash,"Alerta","OK")</f>
        <v/>
      </c>
      <c r="AI49" s="61">
        <f>IF(AI48&lt;MinCash,"Alerta","OK")</f>
        <v/>
      </c>
      <c r="AJ49" s="61">
        <f>IF(AJ48&lt;MinCash,"Alerta","OK")</f>
        <v/>
      </c>
      <c r="AK49" s="61">
        <f>IF(AK48&lt;MinCash,"Alerta","OK")</f>
        <v/>
      </c>
      <c r="AL49" s="61">
        <f>IF(AL48&lt;MinCash,"Alerta","OK")</f>
        <v/>
      </c>
    </row>
    <row r="50">
      <c r="A50" s="6" t="inlineStr">
        <is>
          <t>Check caja (debe ser 0)</t>
        </is>
      </c>
      <c r="B50" s="24" t="inlineStr">
        <is>
          <t>€</t>
        </is>
      </c>
      <c r="C50" s="60">
        <f>C38+C47-C48</f>
        <v/>
      </c>
      <c r="D50" s="60">
        <f>D38+D47-D48</f>
        <v/>
      </c>
      <c r="E50" s="60">
        <f>E38+E47-E48</f>
        <v/>
      </c>
      <c r="F50" s="60">
        <f>F38+F47-F48</f>
        <v/>
      </c>
      <c r="G50" s="60">
        <f>G38+G47-G48</f>
        <v/>
      </c>
      <c r="H50" s="60">
        <f>H38+H47-H48</f>
        <v/>
      </c>
      <c r="I50" s="60">
        <f>I38+I47-I48</f>
        <v/>
      </c>
      <c r="J50" s="60">
        <f>J38+J47-J48</f>
        <v/>
      </c>
      <c r="K50" s="60">
        <f>K38+K47-K48</f>
        <v/>
      </c>
      <c r="L50" s="60">
        <f>L38+L47-L48</f>
        <v/>
      </c>
      <c r="M50" s="60">
        <f>M38+M47-M48</f>
        <v/>
      </c>
      <c r="N50" s="60">
        <f>N38+N47-N48</f>
        <v/>
      </c>
      <c r="O50" s="60">
        <f>O38+O47-O48</f>
        <v/>
      </c>
      <c r="P50" s="60">
        <f>P38+P47-P48</f>
        <v/>
      </c>
      <c r="Q50" s="60">
        <f>Q38+Q47-Q48</f>
        <v/>
      </c>
      <c r="R50" s="60">
        <f>R38+R47-R48</f>
        <v/>
      </c>
      <c r="S50" s="60">
        <f>S38+S47-S48</f>
        <v/>
      </c>
      <c r="T50" s="60">
        <f>T38+T47-T48</f>
        <v/>
      </c>
      <c r="U50" s="60">
        <f>U38+U47-U48</f>
        <v/>
      </c>
      <c r="V50" s="60">
        <f>V38+V47-V48</f>
        <v/>
      </c>
      <c r="W50" s="60">
        <f>W38+W47-W48</f>
        <v/>
      </c>
      <c r="X50" s="60">
        <f>X38+X47-X48</f>
        <v/>
      </c>
      <c r="Y50" s="60">
        <f>Y38+Y47-Y48</f>
        <v/>
      </c>
      <c r="Z50" s="60">
        <f>Z38+Z47-Z48</f>
        <v/>
      </c>
      <c r="AA50" s="60">
        <f>AA38+AA47-AA48</f>
        <v/>
      </c>
      <c r="AB50" s="60">
        <f>AB38+AB47-AB48</f>
        <v/>
      </c>
      <c r="AC50" s="60">
        <f>AC38+AC47-AC48</f>
        <v/>
      </c>
      <c r="AD50" s="60">
        <f>AD38+AD47-AD48</f>
        <v/>
      </c>
      <c r="AE50" s="60">
        <f>AE38+AE47-AE48</f>
        <v/>
      </c>
      <c r="AF50" s="60">
        <f>AF38+AF47-AF48</f>
        <v/>
      </c>
      <c r="AG50" s="60">
        <f>AG38+AG47-AG48</f>
        <v/>
      </c>
      <c r="AH50" s="60">
        <f>AH38+AH47-AH48</f>
        <v/>
      </c>
      <c r="AI50" s="60">
        <f>AI38+AI47-AI48</f>
        <v/>
      </c>
      <c r="AJ50" s="60">
        <f>AJ38+AJ47-AJ48</f>
        <v/>
      </c>
      <c r="AK50" s="60">
        <f>AK38+AK47-AK48</f>
        <v/>
      </c>
      <c r="AL50" s="60">
        <f>AL38+AL47-AL48</f>
        <v/>
      </c>
      <c r="AM50" s="60">
        <f>SUM(C50:N50)</f>
        <v/>
      </c>
      <c r="AN50" s="60">
        <f>SUM(O50:Z50)</f>
        <v/>
      </c>
      <c r="AO50" s="60">
        <f>SUM(AA50:AL50)</f>
        <v/>
      </c>
      <c r="AP50" s="60">
        <f>SUM(AM50:AO50)</f>
        <v/>
      </c>
    </row>
    <row r="51" ht="20" customHeight="1">
      <c r="A51" s="16" t="inlineStr">
        <is>
          <t>CALENDARIO DE DEUDA</t>
        </is>
      </c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</row>
    <row r="52">
      <c r="A52" s="6" t="inlineStr">
        <is>
          <t>Deuda inicial</t>
        </is>
      </c>
      <c r="B52" s="24" t="inlineStr">
        <is>
          <t>€</t>
        </is>
      </c>
      <c r="C52" s="60">
        <f>LoanAmount</f>
        <v/>
      </c>
      <c r="D52" s="60">
        <f>C55</f>
        <v/>
      </c>
      <c r="E52" s="60">
        <f>D55</f>
        <v/>
      </c>
      <c r="F52" s="60">
        <f>E55</f>
        <v/>
      </c>
      <c r="G52" s="60">
        <f>F55</f>
        <v/>
      </c>
      <c r="H52" s="60">
        <f>G55</f>
        <v/>
      </c>
      <c r="I52" s="60">
        <f>H55</f>
        <v/>
      </c>
      <c r="J52" s="60">
        <f>I55</f>
        <v/>
      </c>
      <c r="K52" s="60">
        <f>J55</f>
        <v/>
      </c>
      <c r="L52" s="60">
        <f>K55</f>
        <v/>
      </c>
      <c r="M52" s="60">
        <f>L55</f>
        <v/>
      </c>
      <c r="N52" s="60">
        <f>M55</f>
        <v/>
      </c>
      <c r="O52" s="60">
        <f>N55</f>
        <v/>
      </c>
      <c r="P52" s="60">
        <f>O55</f>
        <v/>
      </c>
      <c r="Q52" s="60">
        <f>P55</f>
        <v/>
      </c>
      <c r="R52" s="60">
        <f>Q55</f>
        <v/>
      </c>
      <c r="S52" s="60">
        <f>R55</f>
        <v/>
      </c>
      <c r="T52" s="60">
        <f>S55</f>
        <v/>
      </c>
      <c r="U52" s="60">
        <f>T55</f>
        <v/>
      </c>
      <c r="V52" s="60">
        <f>U55</f>
        <v/>
      </c>
      <c r="W52" s="60">
        <f>V55</f>
        <v/>
      </c>
      <c r="X52" s="60">
        <f>W55</f>
        <v/>
      </c>
      <c r="Y52" s="60">
        <f>X55</f>
        <v/>
      </c>
      <c r="Z52" s="60">
        <f>Y55</f>
        <v/>
      </c>
      <c r="AA52" s="60">
        <f>Z55</f>
        <v/>
      </c>
      <c r="AB52" s="60">
        <f>AA55</f>
        <v/>
      </c>
      <c r="AC52" s="60">
        <f>AB55</f>
        <v/>
      </c>
      <c r="AD52" s="60">
        <f>AC55</f>
        <v/>
      </c>
      <c r="AE52" s="60">
        <f>AD55</f>
        <v/>
      </c>
      <c r="AF52" s="60">
        <f>AE55</f>
        <v/>
      </c>
      <c r="AG52" s="60">
        <f>AF55</f>
        <v/>
      </c>
      <c r="AH52" s="60">
        <f>AG55</f>
        <v/>
      </c>
      <c r="AI52" s="60">
        <f>AH55</f>
        <v/>
      </c>
      <c r="AJ52" s="60">
        <f>AI55</f>
        <v/>
      </c>
      <c r="AK52" s="60">
        <f>AJ55</f>
        <v/>
      </c>
      <c r="AL52" s="60">
        <f>AK55</f>
        <v/>
      </c>
      <c r="AM52" s="60">
        <f>N52</f>
        <v/>
      </c>
      <c r="AN52" s="60">
        <f>Z52</f>
        <v/>
      </c>
      <c r="AO52" s="60">
        <f>AL52</f>
        <v/>
      </c>
      <c r="AP52" s="60">
        <f>AO52</f>
        <v/>
      </c>
    </row>
    <row r="53">
      <c r="A53" s="6" t="inlineStr">
        <is>
          <t>Intereses</t>
        </is>
      </c>
      <c r="B53" s="24" t="inlineStr">
        <is>
          <t>€</t>
        </is>
      </c>
      <c r="C53" s="60">
        <f>C52*LoanRate/12</f>
        <v/>
      </c>
      <c r="D53" s="60">
        <f>D52*LoanRate/12</f>
        <v/>
      </c>
      <c r="E53" s="60">
        <f>E52*LoanRate/12</f>
        <v/>
      </c>
      <c r="F53" s="60">
        <f>F52*LoanRate/12</f>
        <v/>
      </c>
      <c r="G53" s="60">
        <f>G52*LoanRate/12</f>
        <v/>
      </c>
      <c r="H53" s="60">
        <f>H52*LoanRate/12</f>
        <v/>
      </c>
      <c r="I53" s="60">
        <f>I52*LoanRate/12</f>
        <v/>
      </c>
      <c r="J53" s="60">
        <f>J52*LoanRate/12</f>
        <v/>
      </c>
      <c r="K53" s="60">
        <f>K52*LoanRate/12</f>
        <v/>
      </c>
      <c r="L53" s="60">
        <f>L52*LoanRate/12</f>
        <v/>
      </c>
      <c r="M53" s="60">
        <f>M52*LoanRate/12</f>
        <v/>
      </c>
      <c r="N53" s="60">
        <f>N52*LoanRate/12</f>
        <v/>
      </c>
      <c r="O53" s="60">
        <f>O52*LoanRate/12</f>
        <v/>
      </c>
      <c r="P53" s="60">
        <f>P52*LoanRate/12</f>
        <v/>
      </c>
      <c r="Q53" s="60">
        <f>Q52*LoanRate/12</f>
        <v/>
      </c>
      <c r="R53" s="60">
        <f>R52*LoanRate/12</f>
        <v/>
      </c>
      <c r="S53" s="60">
        <f>S52*LoanRate/12</f>
        <v/>
      </c>
      <c r="T53" s="60">
        <f>T52*LoanRate/12</f>
        <v/>
      </c>
      <c r="U53" s="60">
        <f>U52*LoanRate/12</f>
        <v/>
      </c>
      <c r="V53" s="60">
        <f>V52*LoanRate/12</f>
        <v/>
      </c>
      <c r="W53" s="60">
        <f>W52*LoanRate/12</f>
        <v/>
      </c>
      <c r="X53" s="60">
        <f>X52*LoanRate/12</f>
        <v/>
      </c>
      <c r="Y53" s="60">
        <f>Y52*LoanRate/12</f>
        <v/>
      </c>
      <c r="Z53" s="60">
        <f>Z52*LoanRate/12</f>
        <v/>
      </c>
      <c r="AA53" s="60">
        <f>AA52*LoanRate/12</f>
        <v/>
      </c>
      <c r="AB53" s="60">
        <f>AB52*LoanRate/12</f>
        <v/>
      </c>
      <c r="AC53" s="60">
        <f>AC52*LoanRate/12</f>
        <v/>
      </c>
      <c r="AD53" s="60">
        <f>AD52*LoanRate/12</f>
        <v/>
      </c>
      <c r="AE53" s="60">
        <f>AE52*LoanRate/12</f>
        <v/>
      </c>
      <c r="AF53" s="60">
        <f>AF52*LoanRate/12</f>
        <v/>
      </c>
      <c r="AG53" s="60">
        <f>AG52*LoanRate/12</f>
        <v/>
      </c>
      <c r="AH53" s="60">
        <f>AH52*LoanRate/12</f>
        <v/>
      </c>
      <c r="AI53" s="60">
        <f>AI52*LoanRate/12</f>
        <v/>
      </c>
      <c r="AJ53" s="60">
        <f>AJ52*LoanRate/12</f>
        <v/>
      </c>
      <c r="AK53" s="60">
        <f>AK52*LoanRate/12</f>
        <v/>
      </c>
      <c r="AL53" s="60">
        <f>AL52*LoanRate/12</f>
        <v/>
      </c>
      <c r="AM53" s="60">
        <f>SUM(C53:N53)</f>
        <v/>
      </c>
      <c r="AN53" s="60">
        <f>SUM(O53:Z53)</f>
        <v/>
      </c>
      <c r="AO53" s="60">
        <f>SUM(AA53:AL53)</f>
        <v/>
      </c>
      <c r="AP53" s="60">
        <f>SUM(AM53:AO53)</f>
        <v/>
      </c>
    </row>
    <row r="54">
      <c r="A54" s="6" t="inlineStr">
        <is>
          <t>Principal</t>
        </is>
      </c>
      <c r="B54" s="24" t="inlineStr">
        <is>
          <t>€</t>
        </is>
      </c>
      <c r="C54" s="60">
        <f>MIN(LoanPayment-C53,C52)</f>
        <v/>
      </c>
      <c r="D54" s="60">
        <f>MIN(LoanPayment-D53,D52)</f>
        <v/>
      </c>
      <c r="E54" s="60">
        <f>MIN(LoanPayment-E53,E52)</f>
        <v/>
      </c>
      <c r="F54" s="60">
        <f>MIN(LoanPayment-F53,F52)</f>
        <v/>
      </c>
      <c r="G54" s="60">
        <f>MIN(LoanPayment-G53,G52)</f>
        <v/>
      </c>
      <c r="H54" s="60">
        <f>MIN(LoanPayment-H53,H52)</f>
        <v/>
      </c>
      <c r="I54" s="60">
        <f>MIN(LoanPayment-I53,I52)</f>
        <v/>
      </c>
      <c r="J54" s="60">
        <f>MIN(LoanPayment-J53,J52)</f>
        <v/>
      </c>
      <c r="K54" s="60">
        <f>MIN(LoanPayment-K53,K52)</f>
        <v/>
      </c>
      <c r="L54" s="60">
        <f>MIN(LoanPayment-L53,L52)</f>
        <v/>
      </c>
      <c r="M54" s="60">
        <f>MIN(LoanPayment-M53,M52)</f>
        <v/>
      </c>
      <c r="N54" s="60">
        <f>MIN(LoanPayment-N53,N52)</f>
        <v/>
      </c>
      <c r="O54" s="60">
        <f>MIN(LoanPayment-O53,O52)</f>
        <v/>
      </c>
      <c r="P54" s="60">
        <f>MIN(LoanPayment-P53,P52)</f>
        <v/>
      </c>
      <c r="Q54" s="60">
        <f>MIN(LoanPayment-Q53,Q52)</f>
        <v/>
      </c>
      <c r="R54" s="60">
        <f>MIN(LoanPayment-R53,R52)</f>
        <v/>
      </c>
      <c r="S54" s="60">
        <f>MIN(LoanPayment-S53,S52)</f>
        <v/>
      </c>
      <c r="T54" s="60">
        <f>MIN(LoanPayment-T53,T52)</f>
        <v/>
      </c>
      <c r="U54" s="60">
        <f>MIN(LoanPayment-U53,U52)</f>
        <v/>
      </c>
      <c r="V54" s="60">
        <f>MIN(LoanPayment-V53,V52)</f>
        <v/>
      </c>
      <c r="W54" s="60">
        <f>MIN(LoanPayment-W53,W52)</f>
        <v/>
      </c>
      <c r="X54" s="60">
        <f>MIN(LoanPayment-X53,X52)</f>
        <v/>
      </c>
      <c r="Y54" s="60">
        <f>MIN(LoanPayment-Y53,Y52)</f>
        <v/>
      </c>
      <c r="Z54" s="60">
        <f>MIN(LoanPayment-Z53,Z52)</f>
        <v/>
      </c>
      <c r="AA54" s="60">
        <f>MIN(LoanPayment-AA53,AA52)</f>
        <v/>
      </c>
      <c r="AB54" s="60">
        <f>MIN(LoanPayment-AB53,AB52)</f>
        <v/>
      </c>
      <c r="AC54" s="60">
        <f>MIN(LoanPayment-AC53,AC52)</f>
        <v/>
      </c>
      <c r="AD54" s="60">
        <f>MIN(LoanPayment-AD53,AD52)</f>
        <v/>
      </c>
      <c r="AE54" s="60">
        <f>MIN(LoanPayment-AE53,AE52)</f>
        <v/>
      </c>
      <c r="AF54" s="60">
        <f>MIN(LoanPayment-AF53,AF52)</f>
        <v/>
      </c>
      <c r="AG54" s="60">
        <f>MIN(LoanPayment-AG53,AG52)</f>
        <v/>
      </c>
      <c r="AH54" s="60">
        <f>MIN(LoanPayment-AH53,AH52)</f>
        <v/>
      </c>
      <c r="AI54" s="60">
        <f>MIN(LoanPayment-AI53,AI52)</f>
        <v/>
      </c>
      <c r="AJ54" s="60">
        <f>MIN(LoanPayment-AJ53,AJ52)</f>
        <v/>
      </c>
      <c r="AK54" s="60">
        <f>MIN(LoanPayment-AK53,AK52)</f>
        <v/>
      </c>
      <c r="AL54" s="60">
        <f>MIN(LoanPayment-AL53,AL52)</f>
        <v/>
      </c>
      <c r="AM54" s="60">
        <f>SUM(C54:N54)</f>
        <v/>
      </c>
      <c r="AN54" s="60">
        <f>SUM(O54:Z54)</f>
        <v/>
      </c>
      <c r="AO54" s="60">
        <f>SUM(AA54:AL54)</f>
        <v/>
      </c>
      <c r="AP54" s="60">
        <f>SUM(AM54:AO54)</f>
        <v/>
      </c>
    </row>
    <row r="55">
      <c r="A55" s="6" t="inlineStr">
        <is>
          <t>Deuda final</t>
        </is>
      </c>
      <c r="B55" s="24" t="inlineStr">
        <is>
          <t>€</t>
        </is>
      </c>
      <c r="C55" s="59">
        <f>C52-C54</f>
        <v/>
      </c>
      <c r="D55" s="59">
        <f>D52-D54</f>
        <v/>
      </c>
      <c r="E55" s="59">
        <f>E52-E54</f>
        <v/>
      </c>
      <c r="F55" s="59">
        <f>F52-F54</f>
        <v/>
      </c>
      <c r="G55" s="59">
        <f>G52-G54</f>
        <v/>
      </c>
      <c r="H55" s="59">
        <f>H52-H54</f>
        <v/>
      </c>
      <c r="I55" s="59">
        <f>I52-I54</f>
        <v/>
      </c>
      <c r="J55" s="59">
        <f>J52-J54</f>
        <v/>
      </c>
      <c r="K55" s="59">
        <f>K52-K54</f>
        <v/>
      </c>
      <c r="L55" s="59">
        <f>L52-L54</f>
        <v/>
      </c>
      <c r="M55" s="59">
        <f>M52-M54</f>
        <v/>
      </c>
      <c r="N55" s="59">
        <f>N52-N54</f>
        <v/>
      </c>
      <c r="O55" s="59">
        <f>O52-O54</f>
        <v/>
      </c>
      <c r="P55" s="59">
        <f>P52-P54</f>
        <v/>
      </c>
      <c r="Q55" s="59">
        <f>Q52-Q54</f>
        <v/>
      </c>
      <c r="R55" s="59">
        <f>R52-R54</f>
        <v/>
      </c>
      <c r="S55" s="59">
        <f>S52-S54</f>
        <v/>
      </c>
      <c r="T55" s="59">
        <f>T52-T54</f>
        <v/>
      </c>
      <c r="U55" s="59">
        <f>U52-U54</f>
        <v/>
      </c>
      <c r="V55" s="59">
        <f>V52-V54</f>
        <v/>
      </c>
      <c r="W55" s="59">
        <f>W52-W54</f>
        <v/>
      </c>
      <c r="X55" s="59">
        <f>X52-X54</f>
        <v/>
      </c>
      <c r="Y55" s="59">
        <f>Y52-Y54</f>
        <v/>
      </c>
      <c r="Z55" s="59">
        <f>Z52-Z54</f>
        <v/>
      </c>
      <c r="AA55" s="59">
        <f>AA52-AA54</f>
        <v/>
      </c>
      <c r="AB55" s="59">
        <f>AB52-AB54</f>
        <v/>
      </c>
      <c r="AC55" s="59">
        <f>AC52-AC54</f>
        <v/>
      </c>
      <c r="AD55" s="59">
        <f>AD52-AD54</f>
        <v/>
      </c>
      <c r="AE55" s="59">
        <f>AE52-AE54</f>
        <v/>
      </c>
      <c r="AF55" s="59">
        <f>AF52-AF54</f>
        <v/>
      </c>
      <c r="AG55" s="59">
        <f>AG52-AG54</f>
        <v/>
      </c>
      <c r="AH55" s="59">
        <f>AH52-AH54</f>
        <v/>
      </c>
      <c r="AI55" s="59">
        <f>AI52-AI54</f>
        <v/>
      </c>
      <c r="AJ55" s="59">
        <f>AJ52-AJ54</f>
        <v/>
      </c>
      <c r="AK55" s="59">
        <f>AK52-AK54</f>
        <v/>
      </c>
      <c r="AL55" s="59">
        <f>AL52-AL54</f>
        <v/>
      </c>
      <c r="AM55" s="59">
        <f>N55</f>
        <v/>
      </c>
      <c r="AN55" s="59">
        <f>Z55</f>
        <v/>
      </c>
      <c r="AO55" s="59">
        <f>AL55</f>
        <v/>
      </c>
      <c r="AP55" s="59">
        <f>AO55</f>
        <v/>
      </c>
    </row>
    <row r="56">
      <c r="A56" s="6" t="inlineStr">
        <is>
          <t>Cuota</t>
        </is>
      </c>
      <c r="B56" s="24" t="inlineStr">
        <is>
          <t>€</t>
        </is>
      </c>
      <c r="C56" s="60">
        <f>LoanPayment</f>
        <v/>
      </c>
      <c r="D56" s="60">
        <f>LoanPayment</f>
        <v/>
      </c>
      <c r="E56" s="60">
        <f>LoanPayment</f>
        <v/>
      </c>
      <c r="F56" s="60">
        <f>LoanPayment</f>
        <v/>
      </c>
      <c r="G56" s="60">
        <f>LoanPayment</f>
        <v/>
      </c>
      <c r="H56" s="60">
        <f>LoanPayment</f>
        <v/>
      </c>
      <c r="I56" s="60">
        <f>LoanPayment</f>
        <v/>
      </c>
      <c r="J56" s="60">
        <f>LoanPayment</f>
        <v/>
      </c>
      <c r="K56" s="60">
        <f>LoanPayment</f>
        <v/>
      </c>
      <c r="L56" s="60">
        <f>LoanPayment</f>
        <v/>
      </c>
      <c r="M56" s="60">
        <f>LoanPayment</f>
        <v/>
      </c>
      <c r="N56" s="60">
        <f>LoanPayment</f>
        <v/>
      </c>
      <c r="O56" s="60">
        <f>LoanPayment</f>
        <v/>
      </c>
      <c r="P56" s="60">
        <f>LoanPayment</f>
        <v/>
      </c>
      <c r="Q56" s="60">
        <f>LoanPayment</f>
        <v/>
      </c>
      <c r="R56" s="60">
        <f>LoanPayment</f>
        <v/>
      </c>
      <c r="S56" s="60">
        <f>LoanPayment</f>
        <v/>
      </c>
      <c r="T56" s="60">
        <f>LoanPayment</f>
        <v/>
      </c>
      <c r="U56" s="60">
        <f>LoanPayment</f>
        <v/>
      </c>
      <c r="V56" s="60">
        <f>LoanPayment</f>
        <v/>
      </c>
      <c r="W56" s="60">
        <f>LoanPayment</f>
        <v/>
      </c>
      <c r="X56" s="60">
        <f>LoanPayment</f>
        <v/>
      </c>
      <c r="Y56" s="60">
        <f>LoanPayment</f>
        <v/>
      </c>
      <c r="Z56" s="60">
        <f>LoanPayment</f>
        <v/>
      </c>
      <c r="AA56" s="60">
        <f>LoanPayment</f>
        <v/>
      </c>
      <c r="AB56" s="60">
        <f>LoanPayment</f>
        <v/>
      </c>
      <c r="AC56" s="60">
        <f>LoanPayment</f>
        <v/>
      </c>
      <c r="AD56" s="60">
        <f>LoanPayment</f>
        <v/>
      </c>
      <c r="AE56" s="60">
        <f>LoanPayment</f>
        <v/>
      </c>
      <c r="AF56" s="60">
        <f>LoanPayment</f>
        <v/>
      </c>
      <c r="AG56" s="60">
        <f>LoanPayment</f>
        <v/>
      </c>
      <c r="AH56" s="60">
        <f>LoanPayment</f>
        <v/>
      </c>
      <c r="AI56" s="60">
        <f>LoanPayment</f>
        <v/>
      </c>
      <c r="AJ56" s="60">
        <f>LoanPayment</f>
        <v/>
      </c>
      <c r="AK56" s="60">
        <f>LoanPayment</f>
        <v/>
      </c>
      <c r="AL56" s="60">
        <f>LoanPayment</f>
        <v/>
      </c>
      <c r="AM56" s="60">
        <f>SUM(C56:N56)</f>
        <v/>
      </c>
      <c r="AN56" s="60">
        <f>SUM(O56:Z56)</f>
        <v/>
      </c>
      <c r="AO56" s="60">
        <f>SUM(AA56:AL56)</f>
        <v/>
      </c>
      <c r="AP56" s="60">
        <f>SUM(AM56:AO56)</f>
        <v/>
      </c>
    </row>
    <row r="57">
      <c r="A57" s="6" t="inlineStr">
        <is>
          <t>DSCR</t>
        </is>
      </c>
      <c r="B57" s="24" t="inlineStr">
        <is>
          <t>×</t>
        </is>
      </c>
      <c r="C57" s="62">
        <f>IFERROR((C26-C31)/(C53+C54),0)</f>
        <v/>
      </c>
      <c r="D57" s="62">
        <f>IFERROR((D26-D31)/(D53+D54),0)</f>
        <v/>
      </c>
      <c r="E57" s="62">
        <f>IFERROR((E26-E31)/(E53+E54),0)</f>
        <v/>
      </c>
      <c r="F57" s="62">
        <f>IFERROR((F26-F31)/(F53+F54),0)</f>
        <v/>
      </c>
      <c r="G57" s="62">
        <f>IFERROR((G26-G31)/(G53+G54),0)</f>
        <v/>
      </c>
      <c r="H57" s="62">
        <f>IFERROR((H26-H31)/(H53+H54),0)</f>
        <v/>
      </c>
      <c r="I57" s="62">
        <f>IFERROR((I26-I31)/(I53+I54),0)</f>
        <v/>
      </c>
      <c r="J57" s="62">
        <f>IFERROR((J26-J31)/(J53+J54),0)</f>
        <v/>
      </c>
      <c r="K57" s="62">
        <f>IFERROR((K26-K31)/(K53+K54),0)</f>
        <v/>
      </c>
      <c r="L57" s="62">
        <f>IFERROR((L26-L31)/(L53+L54),0)</f>
        <v/>
      </c>
      <c r="M57" s="62">
        <f>IFERROR((M26-M31)/(M53+M54),0)</f>
        <v/>
      </c>
      <c r="N57" s="62">
        <f>IFERROR((N26-N31)/(N53+N54),0)</f>
        <v/>
      </c>
      <c r="O57" s="62">
        <f>IFERROR((O26-O31)/(O53+O54),0)</f>
        <v/>
      </c>
      <c r="P57" s="62">
        <f>IFERROR((P26-P31)/(P53+P54),0)</f>
        <v/>
      </c>
      <c r="Q57" s="62">
        <f>IFERROR((Q26-Q31)/(Q53+Q54),0)</f>
        <v/>
      </c>
      <c r="R57" s="62">
        <f>IFERROR((R26-R31)/(R53+R54),0)</f>
        <v/>
      </c>
      <c r="S57" s="62">
        <f>IFERROR((S26-S31)/(S53+S54),0)</f>
        <v/>
      </c>
      <c r="T57" s="62">
        <f>IFERROR((T26-T31)/(T53+T54),0)</f>
        <v/>
      </c>
      <c r="U57" s="62">
        <f>IFERROR((U26-U31)/(U53+U54),0)</f>
        <v/>
      </c>
      <c r="V57" s="62">
        <f>IFERROR((V26-V31)/(V53+V54),0)</f>
        <v/>
      </c>
      <c r="W57" s="62">
        <f>IFERROR((W26-W31)/(W53+W54),0)</f>
        <v/>
      </c>
      <c r="X57" s="62">
        <f>IFERROR((X26-X31)/(X53+X54),0)</f>
        <v/>
      </c>
      <c r="Y57" s="62">
        <f>IFERROR((Y26-Y31)/(Y53+Y54),0)</f>
        <v/>
      </c>
      <c r="Z57" s="62">
        <f>IFERROR((Z26-Z31)/(Z53+Z54),0)</f>
        <v/>
      </c>
      <c r="AA57" s="62">
        <f>IFERROR((AA26-AA31)/(AA53+AA54),0)</f>
        <v/>
      </c>
      <c r="AB57" s="62">
        <f>IFERROR((AB26-AB31)/(AB53+AB54),0)</f>
        <v/>
      </c>
      <c r="AC57" s="62">
        <f>IFERROR((AC26-AC31)/(AC53+AC54),0)</f>
        <v/>
      </c>
      <c r="AD57" s="62">
        <f>IFERROR((AD26-AD31)/(AD53+AD54),0)</f>
        <v/>
      </c>
      <c r="AE57" s="62">
        <f>IFERROR((AE26-AE31)/(AE53+AE54),0)</f>
        <v/>
      </c>
      <c r="AF57" s="62">
        <f>IFERROR((AF26-AF31)/(AF53+AF54),0)</f>
        <v/>
      </c>
      <c r="AG57" s="62">
        <f>IFERROR((AG26-AG31)/(AG53+AG54),0)</f>
        <v/>
      </c>
      <c r="AH57" s="62">
        <f>IFERROR((AH26-AH31)/(AH53+AH54),0)</f>
        <v/>
      </c>
      <c r="AI57" s="62">
        <f>IFERROR((AI26-AI31)/(AI53+AI54),0)</f>
        <v/>
      </c>
      <c r="AJ57" s="62">
        <f>IFERROR((AJ26-AJ31)/(AJ53+AJ54),0)</f>
        <v/>
      </c>
      <c r="AK57" s="62">
        <f>IFERROR((AK26-AK31)/(AK53+AK54),0)</f>
        <v/>
      </c>
      <c r="AL57" s="62">
        <f>IFERROR((AL26-AL31)/(AL53+AL54),0)</f>
        <v/>
      </c>
      <c r="AM57" s="63">
        <f>IFERROR((AM26-AM31)/(AM53+AM54),0)</f>
        <v/>
      </c>
      <c r="AN57" s="63">
        <f>IFERROR((AN26-AN31)/(AN53+AN54),0)</f>
        <v/>
      </c>
      <c r="AO57" s="63">
        <f>IFERROR((AO26-AO31)/(AO53+AO54),0)</f>
        <v/>
      </c>
      <c r="AP57" s="63">
        <f>IFERROR((AP26-AP31)/(AP53+AP54),0)</f>
        <v/>
      </c>
    </row>
    <row r="58" ht="20" customHeight="1">
      <c r="A58" s="16" t="inlineStr">
        <is>
          <t>IMPUESTO ANUAL Y PÉRDIDAS COMPENSABLES</t>
        </is>
      </c>
      <c r="B58" s="17" t="n"/>
      <c r="C58" s="17" t="n"/>
      <c r="D58" s="17" t="n"/>
    </row>
    <row r="59">
      <c r="A59" s="23" t="inlineStr">
        <is>
          <t>Concepto</t>
        </is>
      </c>
      <c r="B59" s="23" t="inlineStr">
        <is>
          <t>2026</t>
        </is>
      </c>
      <c r="C59" s="23" t="inlineStr">
        <is>
          <t>2027</t>
        </is>
      </c>
      <c r="D59" s="23" t="inlineStr">
        <is>
          <t>2028</t>
        </is>
      </c>
      <c r="E59" s="28" t="inlineStr">
        <is>
          <t>La cuota mensual de la fila 31 es la cuota anual / 12.</t>
        </is>
      </c>
    </row>
    <row r="60">
      <c r="A60" s="30" t="inlineStr">
        <is>
          <t>EBT anual</t>
        </is>
      </c>
      <c r="B60" s="36">
        <f>AM30</f>
        <v/>
      </c>
      <c r="C60" s="36">
        <f>AN30</f>
        <v/>
      </c>
      <c r="D60" s="36">
        <f>AO30</f>
        <v/>
      </c>
    </row>
    <row r="61">
      <c r="A61" s="30" t="inlineStr">
        <is>
          <t>Pérdidas inicio (con deuda)</t>
        </is>
      </c>
      <c r="B61" s="36" t="n">
        <v>0</v>
      </c>
      <c r="C61" s="36">
        <f>B64</f>
        <v/>
      </c>
      <c r="D61" s="36">
        <f>C64</f>
        <v/>
      </c>
    </row>
    <row r="62">
      <c r="A62" s="30" t="inlineStr">
        <is>
          <t>Base imponible</t>
        </is>
      </c>
      <c r="B62" s="36">
        <f>MAX(0,B60-B61)</f>
        <v/>
      </c>
      <c r="C62" s="36">
        <f>MAX(0,C60-C61)</f>
        <v/>
      </c>
      <c r="D62" s="36">
        <f>MAX(0,D60-D61)</f>
        <v/>
      </c>
    </row>
    <row r="63">
      <c r="A63" s="30" t="inlineStr">
        <is>
          <t>Cuota</t>
        </is>
      </c>
      <c r="B63" s="36">
        <f>B62*TaxRate</f>
        <v/>
      </c>
      <c r="C63" s="36">
        <f>C62*TaxRate</f>
        <v/>
      </c>
      <c r="D63" s="36">
        <f>D62*TaxRate</f>
        <v/>
      </c>
    </row>
    <row r="64">
      <c r="A64" s="30" t="inlineStr">
        <is>
          <t>Pérdidas fin</t>
        </is>
      </c>
      <c r="B64" s="36">
        <f>B61-MIN(B61,MAX(0,B60))+MAX(0,-B60)</f>
        <v/>
      </c>
      <c r="C64" s="36">
        <f>C61-MIN(C61,MAX(0,C60))+MAX(0,-C60)</f>
        <v/>
      </c>
      <c r="D64" s="36">
        <f>D61-MIN(D61,MAX(0,D60))+MAX(0,-D60)</f>
        <v/>
      </c>
    </row>
    <row r="65">
      <c r="A65" s="30" t="inlineStr">
        <is>
          <t>EBIT anual</t>
        </is>
      </c>
      <c r="B65" s="36">
        <f>AM28</f>
        <v/>
      </c>
      <c r="C65" s="36">
        <f>AN28</f>
        <v/>
      </c>
      <c r="D65" s="36">
        <f>AO28</f>
        <v/>
      </c>
    </row>
    <row r="66">
      <c r="A66" s="30" t="inlineStr">
        <is>
          <t>Pérdidas inicio (sin deuda)</t>
        </is>
      </c>
      <c r="B66" s="36" t="n">
        <v>0</v>
      </c>
      <c r="C66" s="36">
        <f>B69</f>
        <v/>
      </c>
      <c r="D66" s="36">
        <f>C69</f>
        <v/>
      </c>
    </row>
    <row r="67">
      <c r="A67" s="30" t="inlineStr">
        <is>
          <t>Base imponible sin deuda</t>
        </is>
      </c>
      <c r="B67" s="36">
        <f>MAX(0,B65-B66)</f>
        <v/>
      </c>
      <c r="C67" s="36">
        <f>MAX(0,C65-C66)</f>
        <v/>
      </c>
      <c r="D67" s="36">
        <f>MAX(0,D65-D66)</f>
        <v/>
      </c>
    </row>
    <row r="68">
      <c r="A68" s="30" t="inlineStr">
        <is>
          <t>Cuota sin deuda</t>
        </is>
      </c>
      <c r="B68" s="36">
        <f>B67*TaxRate</f>
        <v/>
      </c>
      <c r="C68" s="36">
        <f>C67*TaxRate</f>
        <v/>
      </c>
      <c r="D68" s="36">
        <f>D67*TaxRate</f>
        <v/>
      </c>
    </row>
    <row r="69">
      <c r="A69" s="30" t="inlineStr">
        <is>
          <t>Pérdidas fin (sin deuda)</t>
        </is>
      </c>
      <c r="B69" s="36">
        <f>B66-MIN(B66,MAX(0,B65))+MAX(0,-B65)</f>
        <v/>
      </c>
      <c r="C69" s="36">
        <f>C66-MIN(C66,MAX(0,C65))+MAX(0,-C65)</f>
        <v/>
      </c>
      <c r="D69" s="36">
        <f>D66-MIN(D66,MAX(0,D65))+MAX(0,-D65)</f>
        <v/>
      </c>
    </row>
    <row r="70">
      <c r="A70" s="30" t="inlineStr">
        <is>
          <t>Escudo fiscal</t>
        </is>
      </c>
      <c r="B70" s="36">
        <f>B68-B63</f>
        <v/>
      </c>
      <c r="C70" s="36">
        <f>C68-C63</f>
        <v/>
      </c>
      <c r="D70" s="36">
        <f>D68-D63</f>
        <v/>
      </c>
    </row>
    <row r="74" ht="20" customHeight="1">
      <c r="A74" s="16" t="inlineStr">
        <is>
          <t>RESUMEN ANUAL</t>
        </is>
      </c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17" t="n"/>
      <c r="AL74" s="17" t="n"/>
      <c r="AM74" s="17" t="n"/>
      <c r="AN74" s="17" t="n"/>
      <c r="AO74" s="17" t="n"/>
      <c r="AP74" s="17" t="n"/>
    </row>
    <row r="75">
      <c r="A75" s="23" t="inlineStr">
        <is>
          <t>Métrica</t>
        </is>
      </c>
      <c r="B75" s="23" t="inlineStr">
        <is>
          <t>2026</t>
        </is>
      </c>
      <c r="C75" s="23" t="inlineStr">
        <is>
          <t>2027</t>
        </is>
      </c>
      <c r="D75" s="23" t="inlineStr">
        <is>
          <t>2028</t>
        </is>
      </c>
      <c r="E75" s="23" t="inlineStr">
        <is>
          <t>3 años</t>
        </is>
      </c>
    </row>
    <row r="76">
      <c r="A76" s="30" t="inlineStr">
        <is>
          <t>Ingresos netos</t>
        </is>
      </c>
      <c r="B76" s="36">
        <f>AM15</f>
        <v/>
      </c>
      <c r="C76" s="36">
        <f>AN15</f>
        <v/>
      </c>
      <c r="D76" s="36">
        <f>AO15</f>
        <v/>
      </c>
      <c r="E76" s="36">
        <f>SUM(B76:D76)</f>
        <v/>
      </c>
    </row>
    <row r="77">
      <c r="A77" s="30" t="inlineStr">
        <is>
          <t>COGS</t>
        </is>
      </c>
      <c r="B77" s="36">
        <f>AM16</f>
        <v/>
      </c>
      <c r="C77" s="36">
        <f>AN16</f>
        <v/>
      </c>
      <c r="D77" s="36">
        <f>AO16</f>
        <v/>
      </c>
      <c r="E77" s="36">
        <f>SUM(B77:D77)</f>
        <v/>
      </c>
    </row>
    <row r="78">
      <c r="A78" s="30" t="inlineStr">
        <is>
          <t>Margen bruto</t>
        </is>
      </c>
      <c r="B78" s="36">
        <f>AM17</f>
        <v/>
      </c>
      <c r="C78" s="36">
        <f>AN17</f>
        <v/>
      </c>
      <c r="D78" s="36">
        <f>AO17</f>
        <v/>
      </c>
      <c r="E78" s="36">
        <f>SUM(B78:D78)</f>
        <v/>
      </c>
    </row>
    <row r="79">
      <c r="A79" s="30" t="inlineStr">
        <is>
          <t>Personal</t>
        </is>
      </c>
      <c r="B79" s="36">
        <f>AM18</f>
        <v/>
      </c>
      <c r="C79" s="36">
        <f>AN18</f>
        <v/>
      </c>
      <c r="D79" s="36">
        <f>AO18</f>
        <v/>
      </c>
      <c r="E79" s="36">
        <f>SUM(B79:D79)</f>
        <v/>
      </c>
    </row>
    <row r="80">
      <c r="A80" s="30" t="inlineStr">
        <is>
          <t>Alquiler</t>
        </is>
      </c>
      <c r="B80" s="36">
        <f>AM19</f>
        <v/>
      </c>
      <c r="C80" s="36">
        <f>AN19</f>
        <v/>
      </c>
      <c r="D80" s="36">
        <f>AO19</f>
        <v/>
      </c>
      <c r="E80" s="36">
        <f>SUM(B80:D80)</f>
        <v/>
      </c>
    </row>
    <row r="81">
      <c r="A81" s="30" t="inlineStr">
        <is>
          <t>Suministros</t>
        </is>
      </c>
      <c r="B81" s="36">
        <f>AM20</f>
        <v/>
      </c>
      <c r="C81" s="36">
        <f>AN20</f>
        <v/>
      </c>
      <c r="D81" s="36">
        <f>AO20</f>
        <v/>
      </c>
      <c r="E81" s="36">
        <f>SUM(B81:D81)</f>
        <v/>
      </c>
    </row>
    <row r="82">
      <c r="A82" s="30" t="inlineStr">
        <is>
          <t>Servicios fijos</t>
        </is>
      </c>
      <c r="B82" s="36">
        <f>AM21</f>
        <v/>
      </c>
      <c r="C82" s="36">
        <f>AN21</f>
        <v/>
      </c>
      <c r="D82" s="36">
        <f>AO21</f>
        <v/>
      </c>
      <c r="E82" s="36">
        <f>SUM(B82:D82)</f>
        <v/>
      </c>
    </row>
    <row r="83">
      <c r="A83" s="30" t="inlineStr">
        <is>
          <t>Marketing fijo</t>
        </is>
      </c>
      <c r="B83" s="36">
        <f>AM22</f>
        <v/>
      </c>
      <c r="C83" s="36">
        <f>AN22</f>
        <v/>
      </c>
      <c r="D83" s="36">
        <f>AO22</f>
        <v/>
      </c>
      <c r="E83" s="36">
        <f>SUM(B83:D83)</f>
        <v/>
      </c>
    </row>
    <row r="84">
      <c r="A84" s="30" t="inlineStr">
        <is>
          <t>Marketing variable</t>
        </is>
      </c>
      <c r="B84" s="36">
        <f>AM23</f>
        <v/>
      </c>
      <c r="C84" s="36">
        <f>AN23</f>
        <v/>
      </c>
      <c r="D84" s="36">
        <f>AO23</f>
        <v/>
      </c>
      <c r="E84" s="36">
        <f>SUM(B84:D84)</f>
        <v/>
      </c>
    </row>
    <row r="85">
      <c r="A85" s="30" t="inlineStr">
        <is>
          <t>Otros gastos</t>
        </is>
      </c>
      <c r="B85" s="36">
        <f>AM24</f>
        <v/>
      </c>
      <c r="C85" s="36">
        <f>AN24</f>
        <v/>
      </c>
      <c r="D85" s="36">
        <f>AO24</f>
        <v/>
      </c>
      <c r="E85" s="36">
        <f>SUM(B85:D85)</f>
        <v/>
      </c>
    </row>
    <row r="86">
      <c r="A86" s="30" t="inlineStr">
        <is>
          <t>EBITDA</t>
        </is>
      </c>
      <c r="B86" s="36">
        <f>AM26</f>
        <v/>
      </c>
      <c r="C86" s="36">
        <f>AN26</f>
        <v/>
      </c>
      <c r="D86" s="36">
        <f>AO26</f>
        <v/>
      </c>
      <c r="E86" s="36">
        <f>SUM(B86:D86)</f>
        <v/>
      </c>
    </row>
    <row r="87">
      <c r="A87" s="30" t="inlineStr">
        <is>
          <t>Amortización</t>
        </is>
      </c>
      <c r="B87" s="36">
        <f>AM27</f>
        <v/>
      </c>
      <c r="C87" s="36">
        <f>AN27</f>
        <v/>
      </c>
      <c r="D87" s="36">
        <f>AO27</f>
        <v/>
      </c>
      <c r="E87" s="36">
        <f>SUM(B87:D87)</f>
        <v/>
      </c>
    </row>
    <row r="88">
      <c r="A88" s="30" t="inlineStr">
        <is>
          <t>EBIT</t>
        </is>
      </c>
      <c r="B88" s="36">
        <f>AM28</f>
        <v/>
      </c>
      <c r="C88" s="36">
        <f>AN28</f>
        <v/>
      </c>
      <c r="D88" s="36">
        <f>AO28</f>
        <v/>
      </c>
      <c r="E88" s="36">
        <f>SUM(B88:D88)</f>
        <v/>
      </c>
    </row>
    <row r="89">
      <c r="A89" s="30" t="inlineStr">
        <is>
          <t>Intereses</t>
        </is>
      </c>
      <c r="B89" s="36">
        <f>AM29</f>
        <v/>
      </c>
      <c r="C89" s="36">
        <f>AN29</f>
        <v/>
      </c>
      <c r="D89" s="36">
        <f>AO29</f>
        <v/>
      </c>
      <c r="E89" s="36">
        <f>SUM(B89:D89)</f>
        <v/>
      </c>
    </row>
    <row r="90">
      <c r="A90" s="30" t="inlineStr">
        <is>
          <t>EBT</t>
        </is>
      </c>
      <c r="B90" s="36">
        <f>AM30</f>
        <v/>
      </c>
      <c r="C90" s="36">
        <f>AN30</f>
        <v/>
      </c>
      <c r="D90" s="36">
        <f>AO30</f>
        <v/>
      </c>
      <c r="E90" s="36">
        <f>SUM(B90:D90)</f>
        <v/>
      </c>
    </row>
    <row r="91">
      <c r="A91" s="30" t="inlineStr">
        <is>
          <t>Impuestos</t>
        </is>
      </c>
      <c r="B91" s="36">
        <f>AM31</f>
        <v/>
      </c>
      <c r="C91" s="36">
        <f>AN31</f>
        <v/>
      </c>
      <c r="D91" s="36">
        <f>AO31</f>
        <v/>
      </c>
      <c r="E91" s="36">
        <f>SUM(B91:D91)</f>
        <v/>
      </c>
    </row>
    <row r="92">
      <c r="A92" s="30" t="inlineStr">
        <is>
          <t>Beneficio neto</t>
        </is>
      </c>
      <c r="B92" s="36">
        <f>AM32</f>
        <v/>
      </c>
      <c r="C92" s="36">
        <f>AN32</f>
        <v/>
      </c>
      <c r="D92" s="36">
        <f>AO32</f>
        <v/>
      </c>
      <c r="E92" s="36">
        <f>SUM(B92:D92)</f>
        <v/>
      </c>
    </row>
    <row r="93">
      <c r="A93" s="30" t="inlineStr">
        <is>
          <t>CFO</t>
        </is>
      </c>
      <c r="B93" s="36">
        <f>B92+B87-AM40</f>
        <v/>
      </c>
      <c r="C93" s="36">
        <f>C92+C87-AN40</f>
        <v/>
      </c>
      <c r="D93" s="36">
        <f>D92+D87-AO40</f>
        <v/>
      </c>
      <c r="E93" s="36">
        <f>SUM(B93:D93)</f>
        <v/>
      </c>
    </row>
    <row r="94">
      <c r="A94" s="30" t="inlineStr">
        <is>
          <t>Capex mantenimiento</t>
        </is>
      </c>
      <c r="B94" s="36">
        <f>AM41</f>
        <v/>
      </c>
      <c r="C94" s="36">
        <f>AN41</f>
        <v/>
      </c>
      <c r="D94" s="36">
        <f>AO41</f>
        <v/>
      </c>
      <c r="E94" s="36">
        <f>SUM(B94:D94)</f>
        <v/>
      </c>
    </row>
    <row r="95">
      <c r="A95" s="30" t="inlineStr">
        <is>
          <t>FCFF</t>
        </is>
      </c>
      <c r="B95" s="36">
        <f>AM43</f>
        <v/>
      </c>
      <c r="C95" s="36">
        <f>AN43</f>
        <v/>
      </c>
      <c r="D95" s="36">
        <f>AO43</f>
        <v/>
      </c>
      <c r="E95" s="36">
        <f>SUM(B95:D95)</f>
        <v/>
      </c>
    </row>
    <row r="96">
      <c r="A96" s="30" t="inlineStr">
        <is>
          <t>Principal</t>
        </is>
      </c>
      <c r="B96" s="36">
        <f>AM46</f>
        <v/>
      </c>
      <c r="C96" s="36">
        <f>AN46</f>
        <v/>
      </c>
      <c r="D96" s="36">
        <f>AO46</f>
        <v/>
      </c>
      <c r="E96" s="36">
        <f>SUM(B96:D96)</f>
        <v/>
      </c>
    </row>
    <row r="97">
      <c r="A97" s="30" t="inlineStr">
        <is>
          <t>FCFE</t>
        </is>
      </c>
      <c r="B97" s="36">
        <f>AM47</f>
        <v/>
      </c>
      <c r="C97" s="36">
        <f>AN47</f>
        <v/>
      </c>
      <c r="D97" s="36">
        <f>AO47</f>
        <v/>
      </c>
      <c r="E97" s="36">
        <f>SUM(B97:D97)</f>
        <v/>
      </c>
    </row>
    <row r="98">
      <c r="A98" s="30" t="inlineStr">
        <is>
          <t>Caja final</t>
        </is>
      </c>
      <c r="B98" s="36">
        <f>N48</f>
        <v/>
      </c>
      <c r="C98" s="36">
        <f>Z48</f>
        <v/>
      </c>
      <c r="D98" s="36">
        <f>AL48</f>
        <v/>
      </c>
      <c r="E98" s="36">
        <f>D98</f>
        <v/>
      </c>
    </row>
    <row r="99">
      <c r="A99" s="30" t="inlineStr">
        <is>
          <t>Tickets/día</t>
        </is>
      </c>
      <c r="B99" s="64">
        <f>AM13/AM9</f>
        <v/>
      </c>
      <c r="C99" s="64">
        <f>AN13/AN9</f>
        <v/>
      </c>
      <c r="D99" s="64">
        <f>AO13/AO9</f>
        <v/>
      </c>
      <c r="E99" s="64">
        <f>SUM(B99:D99)/3</f>
        <v/>
      </c>
    </row>
    <row r="100">
      <c r="A100" s="30" t="inlineStr">
        <is>
          <t>Ticket medio neto</t>
        </is>
      </c>
      <c r="B100" s="52">
        <f>B76/AM13</f>
        <v/>
      </c>
      <c r="C100" s="52">
        <f>C76/AN13</f>
        <v/>
      </c>
      <c r="D100" s="52">
        <f>D76/AO13</f>
        <v/>
      </c>
      <c r="E100" s="52">
        <f>E76/SUM(AM13:AO13)</f>
        <v/>
      </c>
    </row>
    <row r="101">
      <c r="A101" s="30" t="inlineStr">
        <is>
          <t>Ticket medio con IVA</t>
        </is>
      </c>
      <c r="B101" s="52">
        <f>B100*1.1</f>
        <v/>
      </c>
      <c r="C101" s="52">
        <f>C100*1.1</f>
        <v/>
      </c>
      <c r="D101" s="52">
        <f>D100*1.1</f>
        <v/>
      </c>
      <c r="E101" s="52">
        <f>E100*1.1</f>
        <v/>
      </c>
    </row>
    <row r="102">
      <c r="A102" s="30" t="inlineStr">
        <is>
          <t>Punto de equilibrio EBITDA</t>
        </is>
      </c>
      <c r="B102" s="64">
        <f>(B79+B80+B81+B82+B83+B85)/((B76-B77-B84)/AM13)/AM9</f>
        <v/>
      </c>
      <c r="C102" s="64">
        <f>(C79+C80+C81+C82+C83+C85)/((C76-C77-C84)/AN13)/AN9</f>
        <v/>
      </c>
      <c r="D102" s="64">
        <f>(D79+D80+D81+D82+D83+D85)/((D76-D77-D84)/AO13)/AO9</f>
        <v/>
      </c>
    </row>
    <row r="103">
      <c r="A103" s="30" t="inlineStr">
        <is>
          <t>Punto de equilibrio total</t>
        </is>
      </c>
      <c r="B103" s="64">
        <f>(B79+B80+B81+B82+B83+B85+B87+B89)/((B76-B77-B84)/AM13)/AM9</f>
        <v/>
      </c>
      <c r="C103" s="64">
        <f>(C79+C80+C81+C82+C83+C85+C87+C89)/((C76-C77-C84)/AN13)/AN9</f>
        <v/>
      </c>
      <c r="D103" s="64">
        <f>(D79+D80+D81+D82+D83+D85+D87+D89)/((D76-D77-D84)/AO13)/AO9</f>
        <v/>
      </c>
    </row>
    <row r="104">
      <c r="A104" s="30" t="inlineStr">
        <is>
          <t>Margen de seguridad</t>
        </is>
      </c>
      <c r="B104" s="34">
        <f>(B99-B103)/B99</f>
        <v/>
      </c>
      <c r="C104" s="34">
        <f>(C99-C103)/C99</f>
        <v/>
      </c>
      <c r="D104" s="34">
        <f>(D99-D103)/D99</f>
        <v/>
      </c>
    </row>
    <row r="105">
      <c r="A105" s="30" t="inlineStr">
        <is>
          <t>DSCR</t>
        </is>
      </c>
      <c r="B105" s="63">
        <f>(B86-B91)/(B89+B96)</f>
        <v/>
      </c>
      <c r="C105" s="63">
        <f>(C86-C91)/(C89+C96)</f>
        <v/>
      </c>
      <c r="D105" s="63">
        <f>(D86-D91)/(D89+D96)</f>
        <v/>
      </c>
    </row>
    <row r="106">
      <c r="A106" t="inlineStr">
        <is>
          <t>Cash-on-cash</t>
        </is>
      </c>
      <c r="B106" s="34">
        <f>AL110/Equity</f>
        <v/>
      </c>
      <c r="C106" s="28" t="inlineStr">
        <is>
          <t>FCFE acumulado a 36 meses / equity</t>
        </is>
      </c>
    </row>
    <row r="107">
      <c r="A107" s="28" t="inlineStr">
        <is>
          <t>Margen de seguridad = (tickets/día previstos − BE total) / tickets/día previstos.</t>
        </is>
      </c>
    </row>
    <row r="108" ht="20" customHeight="1">
      <c r="A108" s="16" t="inlineStr">
        <is>
          <t>PAYBACK</t>
        </is>
      </c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  <c r="AF108" s="17" t="n"/>
      <c r="AG108" s="17" t="n"/>
      <c r="AH108" s="17" t="n"/>
      <c r="AI108" s="17" t="n"/>
      <c r="AJ108" s="17" t="n"/>
      <c r="AK108" s="17" t="n"/>
      <c r="AL108" s="17" t="n"/>
      <c r="AM108" s="17" t="n"/>
      <c r="AN108" s="17" t="n"/>
      <c r="AO108" s="17" t="n"/>
      <c r="AP108" s="17" t="n"/>
    </row>
    <row r="109">
      <c r="A109" s="6" t="inlineStr">
        <is>
          <t>FCFF acumulado</t>
        </is>
      </c>
      <c r="B109" s="24" t="inlineStr">
        <is>
          <t>€</t>
        </is>
      </c>
      <c r="C109" s="36">
        <f>C43</f>
        <v/>
      </c>
      <c r="D109" s="36">
        <f>C109+D43</f>
        <v/>
      </c>
      <c r="E109" s="36">
        <f>D109+E43</f>
        <v/>
      </c>
      <c r="F109" s="36">
        <f>E109+F43</f>
        <v/>
      </c>
      <c r="G109" s="36">
        <f>F109+G43</f>
        <v/>
      </c>
      <c r="H109" s="36">
        <f>G109+H43</f>
        <v/>
      </c>
      <c r="I109" s="36">
        <f>H109+I43</f>
        <v/>
      </c>
      <c r="J109" s="36">
        <f>I109+J43</f>
        <v/>
      </c>
      <c r="K109" s="36">
        <f>J109+K43</f>
        <v/>
      </c>
      <c r="L109" s="36">
        <f>K109+L43</f>
        <v/>
      </c>
      <c r="M109" s="36">
        <f>L109+M43</f>
        <v/>
      </c>
      <c r="N109" s="36">
        <f>M109+N43</f>
        <v/>
      </c>
      <c r="O109" s="36">
        <f>N109+O43</f>
        <v/>
      </c>
      <c r="P109" s="36">
        <f>O109+P43</f>
        <v/>
      </c>
      <c r="Q109" s="36">
        <f>P109+Q43</f>
        <v/>
      </c>
      <c r="R109" s="36">
        <f>Q109+R43</f>
        <v/>
      </c>
      <c r="S109" s="36">
        <f>R109+S43</f>
        <v/>
      </c>
      <c r="T109" s="36">
        <f>S109+T43</f>
        <v/>
      </c>
      <c r="U109" s="36">
        <f>T109+U43</f>
        <v/>
      </c>
      <c r="V109" s="36">
        <f>U109+V43</f>
        <v/>
      </c>
      <c r="W109" s="36">
        <f>V109+W43</f>
        <v/>
      </c>
      <c r="X109" s="36">
        <f>W109+X43</f>
        <v/>
      </c>
      <c r="Y109" s="36">
        <f>X109+Y43</f>
        <v/>
      </c>
      <c r="Z109" s="36">
        <f>Y109+Z43</f>
        <v/>
      </c>
      <c r="AA109" s="36">
        <f>Z109+AA43</f>
        <v/>
      </c>
      <c r="AB109" s="36">
        <f>AA109+AB43</f>
        <v/>
      </c>
      <c r="AC109" s="36">
        <f>AB109+AC43</f>
        <v/>
      </c>
      <c r="AD109" s="36">
        <f>AC109+AD43</f>
        <v/>
      </c>
      <c r="AE109" s="36">
        <f>AD109+AE43</f>
        <v/>
      </c>
      <c r="AF109" s="36">
        <f>AE109+AF43</f>
        <v/>
      </c>
      <c r="AG109" s="36">
        <f>AF109+AG43</f>
        <v/>
      </c>
      <c r="AH109" s="36">
        <f>AG109+AH43</f>
        <v/>
      </c>
      <c r="AI109" s="36">
        <f>AH109+AI43</f>
        <v/>
      </c>
      <c r="AJ109" s="36">
        <f>AI109+AJ43</f>
        <v/>
      </c>
      <c r="AK109" s="36">
        <f>AJ109+AK43</f>
        <v/>
      </c>
      <c r="AL109" s="36">
        <f>AK109+AL43</f>
        <v/>
      </c>
    </row>
    <row r="110">
      <c r="A110" s="6" t="inlineStr">
        <is>
          <t>FCFE acumulado</t>
        </is>
      </c>
      <c r="B110" s="24" t="inlineStr">
        <is>
          <t>€</t>
        </is>
      </c>
      <c r="C110" s="36">
        <f>C47</f>
        <v/>
      </c>
      <c r="D110" s="36">
        <f>C110+D47</f>
        <v/>
      </c>
      <c r="E110" s="36">
        <f>D110+E47</f>
        <v/>
      </c>
      <c r="F110" s="36">
        <f>E110+F47</f>
        <v/>
      </c>
      <c r="G110" s="36">
        <f>F110+G47</f>
        <v/>
      </c>
      <c r="H110" s="36">
        <f>G110+H47</f>
        <v/>
      </c>
      <c r="I110" s="36">
        <f>H110+I47</f>
        <v/>
      </c>
      <c r="J110" s="36">
        <f>I110+J47</f>
        <v/>
      </c>
      <c r="K110" s="36">
        <f>J110+K47</f>
        <v/>
      </c>
      <c r="L110" s="36">
        <f>K110+L47</f>
        <v/>
      </c>
      <c r="M110" s="36">
        <f>L110+M47</f>
        <v/>
      </c>
      <c r="N110" s="36">
        <f>M110+N47</f>
        <v/>
      </c>
      <c r="O110" s="36">
        <f>N110+O47</f>
        <v/>
      </c>
      <c r="P110" s="36">
        <f>O110+P47</f>
        <v/>
      </c>
      <c r="Q110" s="36">
        <f>P110+Q47</f>
        <v/>
      </c>
      <c r="R110" s="36">
        <f>Q110+R47</f>
        <v/>
      </c>
      <c r="S110" s="36">
        <f>R110+S47</f>
        <v/>
      </c>
      <c r="T110" s="36">
        <f>S110+T47</f>
        <v/>
      </c>
      <c r="U110" s="36">
        <f>T110+U47</f>
        <v/>
      </c>
      <c r="V110" s="36">
        <f>U110+V47</f>
        <v/>
      </c>
      <c r="W110" s="36">
        <f>V110+W47</f>
        <v/>
      </c>
      <c r="X110" s="36">
        <f>W110+X47</f>
        <v/>
      </c>
      <c r="Y110" s="36">
        <f>X110+Y47</f>
        <v/>
      </c>
      <c r="Z110" s="36">
        <f>Y110+Z47</f>
        <v/>
      </c>
      <c r="AA110" s="36">
        <f>Z110+AA47</f>
        <v/>
      </c>
      <c r="AB110" s="36">
        <f>AA110+AB47</f>
        <v/>
      </c>
      <c r="AC110" s="36">
        <f>AB110+AC47</f>
        <v/>
      </c>
      <c r="AD110" s="36">
        <f>AC110+AD47</f>
        <v/>
      </c>
      <c r="AE110" s="36">
        <f>AD110+AE47</f>
        <v/>
      </c>
      <c r="AF110" s="36">
        <f>AE110+AF47</f>
        <v/>
      </c>
      <c r="AG110" s="36">
        <f>AF110+AG47</f>
        <v/>
      </c>
      <c r="AH110" s="36">
        <f>AG110+AH47</f>
        <v/>
      </c>
      <c r="AI110" s="36">
        <f>AH110+AI47</f>
        <v/>
      </c>
      <c r="AJ110" s="36">
        <f>AI110+AJ47</f>
        <v/>
      </c>
      <c r="AK110" s="36">
        <f>AJ110+AK47</f>
        <v/>
      </c>
      <c r="AL110" s="36">
        <f>AK110+AL47</f>
        <v/>
      </c>
    </row>
    <row r="111">
      <c r="A111" s="6" t="inlineStr">
        <is>
          <t>Flag payback proyecto</t>
        </is>
      </c>
      <c r="B111" s="24" t="inlineStr">
        <is>
          <t>mes</t>
        </is>
      </c>
      <c r="C111" s="37">
        <f>IF(C109&gt;=TotalCapex+WC0,C5,999)</f>
        <v/>
      </c>
      <c r="D111" s="37">
        <f>IF(D109&gt;=TotalCapex+WC0,D5,999)</f>
        <v/>
      </c>
      <c r="E111" s="37">
        <f>IF(E109&gt;=TotalCapex+WC0,E5,999)</f>
        <v/>
      </c>
      <c r="F111" s="37">
        <f>IF(F109&gt;=TotalCapex+WC0,F5,999)</f>
        <v/>
      </c>
      <c r="G111" s="37">
        <f>IF(G109&gt;=TotalCapex+WC0,G5,999)</f>
        <v/>
      </c>
      <c r="H111" s="37">
        <f>IF(H109&gt;=TotalCapex+WC0,H5,999)</f>
        <v/>
      </c>
      <c r="I111" s="37">
        <f>IF(I109&gt;=TotalCapex+WC0,I5,999)</f>
        <v/>
      </c>
      <c r="J111" s="37">
        <f>IF(J109&gt;=TotalCapex+WC0,J5,999)</f>
        <v/>
      </c>
      <c r="K111" s="37">
        <f>IF(K109&gt;=TotalCapex+WC0,K5,999)</f>
        <v/>
      </c>
      <c r="L111" s="37">
        <f>IF(L109&gt;=TotalCapex+WC0,L5,999)</f>
        <v/>
      </c>
      <c r="M111" s="37">
        <f>IF(M109&gt;=TotalCapex+WC0,M5,999)</f>
        <v/>
      </c>
      <c r="N111" s="37">
        <f>IF(N109&gt;=TotalCapex+WC0,N5,999)</f>
        <v/>
      </c>
      <c r="O111" s="37">
        <f>IF(O109&gt;=TotalCapex+WC0,O5,999)</f>
        <v/>
      </c>
      <c r="P111" s="37">
        <f>IF(P109&gt;=TotalCapex+WC0,P5,999)</f>
        <v/>
      </c>
      <c r="Q111" s="37">
        <f>IF(Q109&gt;=TotalCapex+WC0,Q5,999)</f>
        <v/>
      </c>
      <c r="R111" s="37">
        <f>IF(R109&gt;=TotalCapex+WC0,R5,999)</f>
        <v/>
      </c>
      <c r="S111" s="37">
        <f>IF(S109&gt;=TotalCapex+WC0,S5,999)</f>
        <v/>
      </c>
      <c r="T111" s="37">
        <f>IF(T109&gt;=TotalCapex+WC0,T5,999)</f>
        <v/>
      </c>
      <c r="U111" s="37">
        <f>IF(U109&gt;=TotalCapex+WC0,U5,999)</f>
        <v/>
      </c>
      <c r="V111" s="37">
        <f>IF(V109&gt;=TotalCapex+WC0,V5,999)</f>
        <v/>
      </c>
      <c r="W111" s="37">
        <f>IF(W109&gt;=TotalCapex+WC0,W5,999)</f>
        <v/>
      </c>
      <c r="X111" s="37">
        <f>IF(X109&gt;=TotalCapex+WC0,X5,999)</f>
        <v/>
      </c>
      <c r="Y111" s="37">
        <f>IF(Y109&gt;=TotalCapex+WC0,Y5,999)</f>
        <v/>
      </c>
      <c r="Z111" s="37">
        <f>IF(Z109&gt;=TotalCapex+WC0,Z5,999)</f>
        <v/>
      </c>
      <c r="AA111" s="37">
        <f>IF(AA109&gt;=TotalCapex+WC0,AA5,999)</f>
        <v/>
      </c>
      <c r="AB111" s="37">
        <f>IF(AB109&gt;=TotalCapex+WC0,AB5,999)</f>
        <v/>
      </c>
      <c r="AC111" s="37">
        <f>IF(AC109&gt;=TotalCapex+WC0,AC5,999)</f>
        <v/>
      </c>
      <c r="AD111" s="37">
        <f>IF(AD109&gt;=TotalCapex+WC0,AD5,999)</f>
        <v/>
      </c>
      <c r="AE111" s="37">
        <f>IF(AE109&gt;=TotalCapex+WC0,AE5,999)</f>
        <v/>
      </c>
      <c r="AF111" s="37">
        <f>IF(AF109&gt;=TotalCapex+WC0,AF5,999)</f>
        <v/>
      </c>
      <c r="AG111" s="37">
        <f>IF(AG109&gt;=TotalCapex+WC0,AG5,999)</f>
        <v/>
      </c>
      <c r="AH111" s="37">
        <f>IF(AH109&gt;=TotalCapex+WC0,AH5,999)</f>
        <v/>
      </c>
      <c r="AI111" s="37">
        <f>IF(AI109&gt;=TotalCapex+WC0,AI5,999)</f>
        <v/>
      </c>
      <c r="AJ111" s="37">
        <f>IF(AJ109&gt;=TotalCapex+WC0,AJ5,999)</f>
        <v/>
      </c>
      <c r="AK111" s="37">
        <f>IF(AK109&gt;=TotalCapex+WC0,AK5,999)</f>
        <v/>
      </c>
      <c r="AL111" s="37">
        <f>IF(AL109&gt;=TotalCapex+WC0,AL5,999)</f>
        <v/>
      </c>
    </row>
    <row r="112">
      <c r="A112" s="6" t="inlineStr">
        <is>
          <t>Flag payback equity</t>
        </is>
      </c>
      <c r="B112" s="24" t="inlineStr">
        <is>
          <t>mes</t>
        </is>
      </c>
      <c r="C112" s="37">
        <f>IF(C110&gt;=Equity,C5,999)</f>
        <v/>
      </c>
      <c r="D112" s="37">
        <f>IF(D110&gt;=Equity,D5,999)</f>
        <v/>
      </c>
      <c r="E112" s="37">
        <f>IF(E110&gt;=Equity,E5,999)</f>
        <v/>
      </c>
      <c r="F112" s="37">
        <f>IF(F110&gt;=Equity,F5,999)</f>
        <v/>
      </c>
      <c r="G112" s="37">
        <f>IF(G110&gt;=Equity,G5,999)</f>
        <v/>
      </c>
      <c r="H112" s="37">
        <f>IF(H110&gt;=Equity,H5,999)</f>
        <v/>
      </c>
      <c r="I112" s="37">
        <f>IF(I110&gt;=Equity,I5,999)</f>
        <v/>
      </c>
      <c r="J112" s="37">
        <f>IF(J110&gt;=Equity,J5,999)</f>
        <v/>
      </c>
      <c r="K112" s="37">
        <f>IF(K110&gt;=Equity,K5,999)</f>
        <v/>
      </c>
      <c r="L112" s="37">
        <f>IF(L110&gt;=Equity,L5,999)</f>
        <v/>
      </c>
      <c r="M112" s="37">
        <f>IF(M110&gt;=Equity,M5,999)</f>
        <v/>
      </c>
      <c r="N112" s="37">
        <f>IF(N110&gt;=Equity,N5,999)</f>
        <v/>
      </c>
      <c r="O112" s="37">
        <f>IF(O110&gt;=Equity,O5,999)</f>
        <v/>
      </c>
      <c r="P112" s="37">
        <f>IF(P110&gt;=Equity,P5,999)</f>
        <v/>
      </c>
      <c r="Q112" s="37">
        <f>IF(Q110&gt;=Equity,Q5,999)</f>
        <v/>
      </c>
      <c r="R112" s="37">
        <f>IF(R110&gt;=Equity,R5,999)</f>
        <v/>
      </c>
      <c r="S112" s="37">
        <f>IF(S110&gt;=Equity,S5,999)</f>
        <v/>
      </c>
      <c r="T112" s="37">
        <f>IF(T110&gt;=Equity,T5,999)</f>
        <v/>
      </c>
      <c r="U112" s="37">
        <f>IF(U110&gt;=Equity,U5,999)</f>
        <v/>
      </c>
      <c r="V112" s="37">
        <f>IF(V110&gt;=Equity,V5,999)</f>
        <v/>
      </c>
      <c r="W112" s="37">
        <f>IF(W110&gt;=Equity,W5,999)</f>
        <v/>
      </c>
      <c r="X112" s="37">
        <f>IF(X110&gt;=Equity,X5,999)</f>
        <v/>
      </c>
      <c r="Y112" s="37">
        <f>IF(Y110&gt;=Equity,Y5,999)</f>
        <v/>
      </c>
      <c r="Z112" s="37">
        <f>IF(Z110&gt;=Equity,Z5,999)</f>
        <v/>
      </c>
      <c r="AA112" s="37">
        <f>IF(AA110&gt;=Equity,AA5,999)</f>
        <v/>
      </c>
      <c r="AB112" s="37">
        <f>IF(AB110&gt;=Equity,AB5,999)</f>
        <v/>
      </c>
      <c r="AC112" s="37">
        <f>IF(AC110&gt;=Equity,AC5,999)</f>
        <v/>
      </c>
      <c r="AD112" s="37">
        <f>IF(AD110&gt;=Equity,AD5,999)</f>
        <v/>
      </c>
      <c r="AE112" s="37">
        <f>IF(AE110&gt;=Equity,AE5,999)</f>
        <v/>
      </c>
      <c r="AF112" s="37">
        <f>IF(AF110&gt;=Equity,AF5,999)</f>
        <v/>
      </c>
      <c r="AG112" s="37">
        <f>IF(AG110&gt;=Equity,AG5,999)</f>
        <v/>
      </c>
      <c r="AH112" s="37">
        <f>IF(AH110&gt;=Equity,AH5,999)</f>
        <v/>
      </c>
      <c r="AI112" s="37">
        <f>IF(AI110&gt;=Equity,AI5,999)</f>
        <v/>
      </c>
      <c r="AJ112" s="37">
        <f>IF(AJ110&gt;=Equity,AJ5,999)</f>
        <v/>
      </c>
      <c r="AK112" s="37">
        <f>IF(AK110&gt;=Equity,AK5,999)</f>
        <v/>
      </c>
      <c r="AL112" s="37">
        <f>IF(AL110&gt;=Equity,AL5,999)</f>
        <v/>
      </c>
    </row>
    <row r="113">
      <c r="A113" t="inlineStr">
        <is>
          <t>Payback proyecto (meses)</t>
        </is>
      </c>
      <c r="B113" s="65">
        <f>IF(MIN(C111:AL111)=999,"&gt;36",MIN(C111:AL111))</f>
        <v/>
      </c>
      <c r="C113" s="28" t="inlineStr">
        <is>
          <t>Recuperación del proyecto: capex 132.000 € + capital circulante inicial 6.500 €.</t>
        </is>
      </c>
    </row>
    <row r="114">
      <c r="A114" t="inlineStr">
        <is>
          <t>Payback equity (meses)</t>
        </is>
      </c>
      <c r="B114" s="65">
        <f>IF(MIN(C112:AL112)=999,"&gt;36",MIN(C112:AL112))</f>
        <v/>
      </c>
      <c r="C114" s="28" t="inlineStr">
        <is>
          <t>Recuperación del accionista: equity aportado 90.000 €.</t>
        </is>
      </c>
    </row>
    <row r="116" ht="20" customHeight="1">
      <c r="A116" s="16" t="inlineStr">
        <is>
          <t>RENTABILIDAD POR PRODUCTO</t>
        </is>
      </c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7" t="n"/>
      <c r="AG116" s="17" t="n"/>
      <c r="AH116" s="17" t="n"/>
      <c r="AI116" s="17" t="n"/>
      <c r="AJ116" s="17" t="n"/>
      <c r="AK116" s="17" t="n"/>
      <c r="AL116" s="17" t="n"/>
      <c r="AM116" s="17" t="n"/>
      <c r="AN116" s="17" t="n"/>
      <c r="AO116" s="17" t="n"/>
      <c r="AP116" s="17" t="n"/>
    </row>
    <row r="117">
      <c r="A117" s="23" t="inlineStr">
        <is>
          <t>Producto — 2026</t>
        </is>
      </c>
      <c r="B117" s="23" t="inlineStr">
        <is>
          <t>Unidades</t>
        </is>
      </c>
      <c r="C117" s="23" t="inlineStr">
        <is>
          <t>Ingresos</t>
        </is>
      </c>
      <c r="D117" s="23" t="inlineStr">
        <is>
          <t>COGS</t>
        </is>
      </c>
      <c r="E117" s="23" t="inlineStr">
        <is>
          <t>Margen bruto</t>
        </is>
      </c>
      <c r="F117" s="23" t="inlineStr">
        <is>
          <t>Margen %</t>
        </is>
      </c>
    </row>
    <row r="118">
      <c r="A118" t="inlineStr">
        <is>
          <t>Espresso</t>
        </is>
      </c>
      <c r="B118" s="27">
        <f>$AM$14*Productos!$H5</f>
        <v/>
      </c>
      <c r="C118" s="36">
        <f>B118*Productos!$F5</f>
        <v/>
      </c>
      <c r="D118" s="36">
        <f>B118*Productos!$J5</f>
        <v/>
      </c>
      <c r="E118" s="36">
        <f>C118-D118</f>
        <v/>
      </c>
      <c r="F118" s="34">
        <f>IFERROR(E118/C118,0)</f>
        <v/>
      </c>
    </row>
    <row r="119">
      <c r="A119" t="inlineStr">
        <is>
          <t>Flat white</t>
        </is>
      </c>
      <c r="B119" s="27">
        <f>$AM$14*Productos!$H6</f>
        <v/>
      </c>
      <c r="C119" s="36">
        <f>B119*Productos!$F6</f>
        <v/>
      </c>
      <c r="D119" s="36">
        <f>B119*Productos!$J6</f>
        <v/>
      </c>
      <c r="E119" s="36">
        <f>C119-D119</f>
        <v/>
      </c>
      <c r="F119" s="34">
        <f>IFERROR(E119/C119,0)</f>
        <v/>
      </c>
    </row>
    <row r="120">
      <c r="A120" t="inlineStr">
        <is>
          <t>Cappuccino</t>
        </is>
      </c>
      <c r="B120" s="27">
        <f>$AM$14*Productos!$H7</f>
        <v/>
      </c>
      <c r="C120" s="36">
        <f>B120*Productos!$F7</f>
        <v/>
      </c>
      <c r="D120" s="36">
        <f>B120*Productos!$J7</f>
        <v/>
      </c>
      <c r="E120" s="36">
        <f>C120-D120</f>
        <v/>
      </c>
      <c r="F120" s="34">
        <f>IFERROR(E120/C120,0)</f>
        <v/>
      </c>
    </row>
    <row r="121">
      <c r="A121" t="inlineStr">
        <is>
          <t>Latte</t>
        </is>
      </c>
      <c r="B121" s="27">
        <f>$AM$14*Productos!$H8</f>
        <v/>
      </c>
      <c r="C121" s="36">
        <f>B121*Productos!$F8</f>
        <v/>
      </c>
      <c r="D121" s="36">
        <f>B121*Productos!$J8</f>
        <v/>
      </c>
      <c r="E121" s="36">
        <f>C121-D121</f>
        <v/>
      </c>
      <c r="F121" s="34">
        <f>IFERROR(E121/C121,0)</f>
        <v/>
      </c>
    </row>
    <row r="122">
      <c r="A122" t="inlineStr">
        <is>
          <t>Cold brew</t>
        </is>
      </c>
      <c r="B122" s="27">
        <f>$AM$14*Productos!$H9</f>
        <v/>
      </c>
      <c r="C122" s="36">
        <f>B122*Productos!$F9</f>
        <v/>
      </c>
      <c r="D122" s="36">
        <f>B122*Productos!$J9</f>
        <v/>
      </c>
      <c r="E122" s="36">
        <f>C122-D122</f>
        <v/>
      </c>
      <c r="F122" s="34">
        <f>IFERROR(E122/C122,0)</f>
        <v/>
      </c>
    </row>
    <row r="123">
      <c r="A123" t="inlineStr">
        <is>
          <t>Croissant</t>
        </is>
      </c>
      <c r="B123" s="27">
        <f>$AM$14*Productos!$H10</f>
        <v/>
      </c>
      <c r="C123" s="36">
        <f>B123*Productos!$F10</f>
        <v/>
      </c>
      <c r="D123" s="36">
        <f>B123*Productos!$J10</f>
        <v/>
      </c>
      <c r="E123" s="36">
        <f>C123-D123</f>
        <v/>
      </c>
      <c r="F123" s="34">
        <f>IFERROR(E123/C123,0)</f>
        <v/>
      </c>
    </row>
    <row r="124">
      <c r="A124" t="inlineStr">
        <is>
          <t>Tostada</t>
        </is>
      </c>
      <c r="B124" s="27">
        <f>$AM$14*Productos!$H11</f>
        <v/>
      </c>
      <c r="C124" s="36">
        <f>B124*Productos!$F11</f>
        <v/>
      </c>
      <c r="D124" s="36">
        <f>B124*Productos!$J11</f>
        <v/>
      </c>
      <c r="E124" s="36">
        <f>C124-D124</f>
        <v/>
      </c>
      <c r="F124" s="34">
        <f>IFERROR(E124/C124,0)</f>
        <v/>
      </c>
    </row>
    <row r="125">
      <c r="A125" t="inlineStr">
        <is>
          <t>Bolsa café 250 g</t>
        </is>
      </c>
      <c r="B125" s="27">
        <f>$AM$14*Productos!$H12</f>
        <v/>
      </c>
      <c r="C125" s="36">
        <f>B125*Productos!$F12</f>
        <v/>
      </c>
      <c r="D125" s="36">
        <f>B125*Productos!$J12</f>
        <v/>
      </c>
      <c r="E125" s="36">
        <f>C125-D125</f>
        <v/>
      </c>
      <c r="F125" s="34">
        <f>IFERROR(E125/C125,0)</f>
        <v/>
      </c>
    </row>
    <row r="126">
      <c r="A126" t="inlineStr">
        <is>
          <t>Total</t>
        </is>
      </c>
      <c r="B126" s="66">
        <f>SUM(B118:B125)</f>
        <v/>
      </c>
      <c r="C126" s="49">
        <f>SUM(C118:C125)</f>
        <v/>
      </c>
      <c r="D126" s="49">
        <f>SUM(D118:D125)</f>
        <v/>
      </c>
      <c r="E126" s="49">
        <f>SUM(E118:E125)</f>
        <v/>
      </c>
      <c r="F126" s="46">
        <f>IFERROR(E126/C126,0)</f>
        <v/>
      </c>
    </row>
    <row r="128">
      <c r="A128" s="23" t="inlineStr">
        <is>
          <t>Producto — 2027</t>
        </is>
      </c>
      <c r="B128" s="23" t="inlineStr">
        <is>
          <t>Unidades</t>
        </is>
      </c>
      <c r="C128" s="23" t="inlineStr">
        <is>
          <t>Ingresos</t>
        </is>
      </c>
      <c r="D128" s="23" t="inlineStr">
        <is>
          <t>COGS</t>
        </is>
      </c>
      <c r="E128" s="23" t="inlineStr">
        <is>
          <t>Margen bruto</t>
        </is>
      </c>
      <c r="F128" s="23" t="inlineStr">
        <is>
          <t>Margen %</t>
        </is>
      </c>
    </row>
    <row r="129">
      <c r="A129" t="inlineStr">
        <is>
          <t>Espresso</t>
        </is>
      </c>
      <c r="B129" s="27">
        <f>$AN$14*Productos!$H5</f>
        <v/>
      </c>
      <c r="C129" s="36">
        <f>B129*Productos!$F5*(1+INDEX(ScenarioMatrix,3,$B$3))^1</f>
        <v/>
      </c>
      <c r="D129" s="36">
        <f>B129*Productos!$J5*(1+INDEX(ScenarioMatrix,4,$B$3))^1</f>
        <v/>
      </c>
      <c r="E129" s="36">
        <f>C129-D129</f>
        <v/>
      </c>
      <c r="F129" s="34">
        <f>IFERROR(E129/C129,0)</f>
        <v/>
      </c>
    </row>
    <row r="130">
      <c r="A130" t="inlineStr">
        <is>
          <t>Flat white</t>
        </is>
      </c>
      <c r="B130" s="27">
        <f>$AN$14*Productos!$H6</f>
        <v/>
      </c>
      <c r="C130" s="36">
        <f>B130*Productos!$F6*(1+INDEX(ScenarioMatrix,3,$B$3))^1</f>
        <v/>
      </c>
      <c r="D130" s="36">
        <f>B130*Productos!$J6*(1+INDEX(ScenarioMatrix,4,$B$3))^1</f>
        <v/>
      </c>
      <c r="E130" s="36">
        <f>C130-D130</f>
        <v/>
      </c>
      <c r="F130" s="34">
        <f>IFERROR(E130/C130,0)</f>
        <v/>
      </c>
    </row>
    <row r="131">
      <c r="A131" t="inlineStr">
        <is>
          <t>Cappuccino</t>
        </is>
      </c>
      <c r="B131" s="27">
        <f>$AN$14*Productos!$H7</f>
        <v/>
      </c>
      <c r="C131" s="36">
        <f>B131*Productos!$F7*(1+INDEX(ScenarioMatrix,3,$B$3))^1</f>
        <v/>
      </c>
      <c r="D131" s="36">
        <f>B131*Productos!$J7*(1+INDEX(ScenarioMatrix,4,$B$3))^1</f>
        <v/>
      </c>
      <c r="E131" s="36">
        <f>C131-D131</f>
        <v/>
      </c>
      <c r="F131" s="34">
        <f>IFERROR(E131/C131,0)</f>
        <v/>
      </c>
    </row>
    <row r="132">
      <c r="A132" t="inlineStr">
        <is>
          <t>Latte</t>
        </is>
      </c>
      <c r="B132" s="27">
        <f>$AN$14*Productos!$H8</f>
        <v/>
      </c>
      <c r="C132" s="36">
        <f>B132*Productos!$F8*(1+INDEX(ScenarioMatrix,3,$B$3))^1</f>
        <v/>
      </c>
      <c r="D132" s="36">
        <f>B132*Productos!$J8*(1+INDEX(ScenarioMatrix,4,$B$3))^1</f>
        <v/>
      </c>
      <c r="E132" s="36">
        <f>C132-D132</f>
        <v/>
      </c>
      <c r="F132" s="34">
        <f>IFERROR(E132/C132,0)</f>
        <v/>
      </c>
    </row>
    <row r="133">
      <c r="A133" t="inlineStr">
        <is>
          <t>Cold brew</t>
        </is>
      </c>
      <c r="B133" s="27">
        <f>$AN$14*Productos!$H9</f>
        <v/>
      </c>
      <c r="C133" s="36">
        <f>B133*Productos!$F9*(1+INDEX(ScenarioMatrix,3,$B$3))^1</f>
        <v/>
      </c>
      <c r="D133" s="36">
        <f>B133*Productos!$J9*(1+INDEX(ScenarioMatrix,4,$B$3))^1</f>
        <v/>
      </c>
      <c r="E133" s="36">
        <f>C133-D133</f>
        <v/>
      </c>
      <c r="F133" s="34">
        <f>IFERROR(E133/C133,0)</f>
        <v/>
      </c>
    </row>
    <row r="134">
      <c r="A134" t="inlineStr">
        <is>
          <t>Croissant</t>
        </is>
      </c>
      <c r="B134" s="27">
        <f>$AN$14*Productos!$H10</f>
        <v/>
      </c>
      <c r="C134" s="36">
        <f>B134*Productos!$F10*(1+INDEX(ScenarioMatrix,3,$B$3))^1</f>
        <v/>
      </c>
      <c r="D134" s="36">
        <f>B134*Productos!$J10*(1+INDEX(ScenarioMatrix,4,$B$3))^1</f>
        <v/>
      </c>
      <c r="E134" s="36">
        <f>C134-D134</f>
        <v/>
      </c>
      <c r="F134" s="34">
        <f>IFERROR(E134/C134,0)</f>
        <v/>
      </c>
    </row>
    <row r="135">
      <c r="A135" t="inlineStr">
        <is>
          <t>Tostada</t>
        </is>
      </c>
      <c r="B135" s="27">
        <f>$AN$14*Productos!$H11</f>
        <v/>
      </c>
      <c r="C135" s="36">
        <f>B135*Productos!$F11*(1+INDEX(ScenarioMatrix,3,$B$3))^1</f>
        <v/>
      </c>
      <c r="D135" s="36">
        <f>B135*Productos!$J11*(1+INDEX(ScenarioMatrix,4,$B$3))^1</f>
        <v/>
      </c>
      <c r="E135" s="36">
        <f>C135-D135</f>
        <v/>
      </c>
      <c r="F135" s="34">
        <f>IFERROR(E135/C135,0)</f>
        <v/>
      </c>
    </row>
    <row r="136">
      <c r="A136" t="inlineStr">
        <is>
          <t>Bolsa café 250 g</t>
        </is>
      </c>
      <c r="B136" s="27">
        <f>$AN$14*Productos!$H12</f>
        <v/>
      </c>
      <c r="C136" s="36">
        <f>B136*Productos!$F12*(1+INDEX(ScenarioMatrix,3,$B$3))^1</f>
        <v/>
      </c>
      <c r="D136" s="36">
        <f>B136*Productos!$J12*(1+INDEX(ScenarioMatrix,4,$B$3))^1</f>
        <v/>
      </c>
      <c r="E136" s="36">
        <f>C136-D136</f>
        <v/>
      </c>
      <c r="F136" s="34">
        <f>IFERROR(E136/C136,0)</f>
        <v/>
      </c>
    </row>
    <row r="137">
      <c r="A137" t="inlineStr">
        <is>
          <t>Total</t>
        </is>
      </c>
      <c r="B137" s="66">
        <f>SUM(B129:B136)</f>
        <v/>
      </c>
      <c r="C137" s="49">
        <f>SUM(C129:C136)</f>
        <v/>
      </c>
      <c r="D137" s="49">
        <f>SUM(D129:D136)</f>
        <v/>
      </c>
      <c r="E137" s="49">
        <f>SUM(E129:E136)</f>
        <v/>
      </c>
      <c r="F137" s="46">
        <f>IFERROR(E137/C137,0)</f>
        <v/>
      </c>
    </row>
    <row r="139">
      <c r="A139" s="23" t="inlineStr">
        <is>
          <t>Producto — 2028</t>
        </is>
      </c>
      <c r="B139" s="23" t="inlineStr">
        <is>
          <t>Unidades</t>
        </is>
      </c>
      <c r="C139" s="23" t="inlineStr">
        <is>
          <t>Ingresos</t>
        </is>
      </c>
      <c r="D139" s="23" t="inlineStr">
        <is>
          <t>COGS</t>
        </is>
      </c>
      <c r="E139" s="23" t="inlineStr">
        <is>
          <t>Margen bruto</t>
        </is>
      </c>
      <c r="F139" s="23" t="inlineStr">
        <is>
          <t>Margen %</t>
        </is>
      </c>
    </row>
    <row r="140">
      <c r="A140" t="inlineStr">
        <is>
          <t>Espresso</t>
        </is>
      </c>
      <c r="B140" s="27">
        <f>$AO$14*Productos!$H5</f>
        <v/>
      </c>
      <c r="C140" s="36">
        <f>B140*Productos!$F5*(1+INDEX(ScenarioMatrix,3,$B$3))^2</f>
        <v/>
      </c>
      <c r="D140" s="36">
        <f>B140*Productos!$J5*(1+INDEX(ScenarioMatrix,4,$B$3))^2</f>
        <v/>
      </c>
      <c r="E140" s="36">
        <f>C140-D140</f>
        <v/>
      </c>
      <c r="F140" s="34">
        <f>IFERROR(E140/C140,0)</f>
        <v/>
      </c>
    </row>
    <row r="141">
      <c r="A141" t="inlineStr">
        <is>
          <t>Flat white</t>
        </is>
      </c>
      <c r="B141" s="27">
        <f>$AO$14*Productos!$H6</f>
        <v/>
      </c>
      <c r="C141" s="36">
        <f>B141*Productos!$F6*(1+INDEX(ScenarioMatrix,3,$B$3))^2</f>
        <v/>
      </c>
      <c r="D141" s="36">
        <f>B141*Productos!$J6*(1+INDEX(ScenarioMatrix,4,$B$3))^2</f>
        <v/>
      </c>
      <c r="E141" s="36">
        <f>C141-D141</f>
        <v/>
      </c>
      <c r="F141" s="34">
        <f>IFERROR(E141/C141,0)</f>
        <v/>
      </c>
    </row>
    <row r="142">
      <c r="A142" t="inlineStr">
        <is>
          <t>Cappuccino</t>
        </is>
      </c>
      <c r="B142" s="27">
        <f>$AO$14*Productos!$H7</f>
        <v/>
      </c>
      <c r="C142" s="36">
        <f>B142*Productos!$F7*(1+INDEX(ScenarioMatrix,3,$B$3))^2</f>
        <v/>
      </c>
      <c r="D142" s="36">
        <f>B142*Productos!$J7*(1+INDEX(ScenarioMatrix,4,$B$3))^2</f>
        <v/>
      </c>
      <c r="E142" s="36">
        <f>C142-D142</f>
        <v/>
      </c>
      <c r="F142" s="34">
        <f>IFERROR(E142/C142,0)</f>
        <v/>
      </c>
    </row>
    <row r="143">
      <c r="A143" t="inlineStr">
        <is>
          <t>Latte</t>
        </is>
      </c>
      <c r="B143" s="27">
        <f>$AO$14*Productos!$H8</f>
        <v/>
      </c>
      <c r="C143" s="36">
        <f>B143*Productos!$F8*(1+INDEX(ScenarioMatrix,3,$B$3))^2</f>
        <v/>
      </c>
      <c r="D143" s="36">
        <f>B143*Productos!$J8*(1+INDEX(ScenarioMatrix,4,$B$3))^2</f>
        <v/>
      </c>
      <c r="E143" s="36">
        <f>C143-D143</f>
        <v/>
      </c>
      <c r="F143" s="34">
        <f>IFERROR(E143/C143,0)</f>
        <v/>
      </c>
    </row>
    <row r="144">
      <c r="A144" t="inlineStr">
        <is>
          <t>Cold brew</t>
        </is>
      </c>
      <c r="B144" s="27">
        <f>$AO$14*Productos!$H9</f>
        <v/>
      </c>
      <c r="C144" s="36">
        <f>B144*Productos!$F9*(1+INDEX(ScenarioMatrix,3,$B$3))^2</f>
        <v/>
      </c>
      <c r="D144" s="36">
        <f>B144*Productos!$J9*(1+INDEX(ScenarioMatrix,4,$B$3))^2</f>
        <v/>
      </c>
      <c r="E144" s="36">
        <f>C144-D144</f>
        <v/>
      </c>
      <c r="F144" s="34">
        <f>IFERROR(E144/C144,0)</f>
        <v/>
      </c>
    </row>
    <row r="145">
      <c r="A145" t="inlineStr">
        <is>
          <t>Croissant</t>
        </is>
      </c>
      <c r="B145" s="27">
        <f>$AO$14*Productos!$H10</f>
        <v/>
      </c>
      <c r="C145" s="36">
        <f>B145*Productos!$F10*(1+INDEX(ScenarioMatrix,3,$B$3))^2</f>
        <v/>
      </c>
      <c r="D145" s="36">
        <f>B145*Productos!$J10*(1+INDEX(ScenarioMatrix,4,$B$3))^2</f>
        <v/>
      </c>
      <c r="E145" s="36">
        <f>C145-D145</f>
        <v/>
      </c>
      <c r="F145" s="34">
        <f>IFERROR(E145/C145,0)</f>
        <v/>
      </c>
    </row>
    <row r="146">
      <c r="A146" t="inlineStr">
        <is>
          <t>Tostada</t>
        </is>
      </c>
      <c r="B146" s="27">
        <f>$AO$14*Productos!$H11</f>
        <v/>
      </c>
      <c r="C146" s="36">
        <f>B146*Productos!$F11*(1+INDEX(ScenarioMatrix,3,$B$3))^2</f>
        <v/>
      </c>
      <c r="D146" s="36">
        <f>B146*Productos!$J11*(1+INDEX(ScenarioMatrix,4,$B$3))^2</f>
        <v/>
      </c>
      <c r="E146" s="36">
        <f>C146-D146</f>
        <v/>
      </c>
      <c r="F146" s="34">
        <f>IFERROR(E146/C146,0)</f>
        <v/>
      </c>
    </row>
    <row r="147">
      <c r="A147" t="inlineStr">
        <is>
          <t>Bolsa café 250 g</t>
        </is>
      </c>
      <c r="B147" s="27">
        <f>$AO$14*Productos!$H12</f>
        <v/>
      </c>
      <c r="C147" s="36">
        <f>B147*Productos!$F12*(1+INDEX(ScenarioMatrix,3,$B$3))^2</f>
        <v/>
      </c>
      <c r="D147" s="36">
        <f>B147*Productos!$J12*(1+INDEX(ScenarioMatrix,4,$B$3))^2</f>
        <v/>
      </c>
      <c r="E147" s="36">
        <f>C147-D147</f>
        <v/>
      </c>
      <c r="F147" s="34">
        <f>IFERROR(E147/C147,0)</f>
        <v/>
      </c>
    </row>
    <row r="148">
      <c r="A148" t="inlineStr">
        <is>
          <t>Total</t>
        </is>
      </c>
      <c r="B148" s="66">
        <f>SUM(B140:B147)</f>
        <v/>
      </c>
      <c r="C148" s="49">
        <f>SUM(C140:C147)</f>
        <v/>
      </c>
      <c r="D148" s="49">
        <f>SUM(D140:D147)</f>
        <v/>
      </c>
      <c r="E148" s="49">
        <f>SUM(E140:E147)</f>
        <v/>
      </c>
      <c r="F148" s="46">
        <f>IFERROR(E148/C148,0)</f>
        <v/>
      </c>
    </row>
    <row r="149">
      <c r="A149" t="inlineStr">
        <is>
          <t>Check producto 2028 vs P&amp;L</t>
        </is>
      </c>
      <c r="C149" s="37">
        <f>C148-AO15</f>
        <v/>
      </c>
      <c r="D149" s="37">
        <f>D148-AO16</f>
        <v/>
      </c>
      <c r="E149" s="10">
        <f>IF(AND(ABS(C149)&lt;1,ABS(D149)&lt;1),"OK","Revisar")</f>
        <v/>
      </c>
    </row>
    <row r="150">
      <c r="A150" t="inlineStr">
        <is>
          <t>Check producto 2026 vs P&amp;L</t>
        </is>
      </c>
      <c r="C150" s="37">
        <f>C126-AM15</f>
        <v/>
      </c>
      <c r="D150" s="37">
        <f>D126-AM16</f>
        <v/>
      </c>
      <c r="E150" s="10">
        <f>IF(AND(ABS(C150)&lt;1,ABS(D150)&lt;1),"OK","Revisar")</f>
        <v/>
      </c>
    </row>
    <row r="151">
      <c r="A151" t="inlineStr">
        <is>
          <t>Check producto 2027 vs P&amp;L</t>
        </is>
      </c>
      <c r="C151" s="37">
        <f>C137-AN15</f>
        <v/>
      </c>
      <c r="D151" s="37">
        <f>D137-AN16</f>
        <v/>
      </c>
      <c r="E151" s="10">
        <f>IF(AND(ABS(C151)&lt;1,ABS(D151)&lt;1),"OK","Revisar")</f>
        <v/>
      </c>
    </row>
    <row r="153" ht="20" customHeight="1">
      <c r="A153" s="16" t="inlineStr">
        <is>
          <t>PUNTO DE EQUILIBRIO MENSUAL (AUXILIAR)</t>
        </is>
      </c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  <c r="AE153" s="17" t="n"/>
      <c r="AF153" s="17" t="n"/>
      <c r="AG153" s="17" t="n"/>
      <c r="AH153" s="17" t="n"/>
      <c r="AI153" s="17" t="n"/>
      <c r="AJ153" s="17" t="n"/>
      <c r="AK153" s="17" t="n"/>
      <c r="AL153" s="17" t="n"/>
      <c r="AM153" s="17" t="n"/>
      <c r="AN153" s="17" t="n"/>
      <c r="AO153" s="17" t="n"/>
      <c r="AP153" s="17" t="n"/>
    </row>
    <row r="154">
      <c r="A154" s="6" t="inlineStr">
        <is>
          <t>BE EBITDA mensual</t>
        </is>
      </c>
      <c r="B154" s="24" t="inlineStr">
        <is>
          <t>tickets/día</t>
        </is>
      </c>
      <c r="C154" s="57">
        <f>(C18+C19+C20+C21+C22+C24)/((C15-C16-C23)/C13)/C9</f>
        <v/>
      </c>
      <c r="D154" s="57">
        <f>(D18+D19+D20+D21+D22+D24)/((D15-D16-D23)/D13)/D9</f>
        <v/>
      </c>
      <c r="E154" s="57">
        <f>(E18+E19+E20+E21+E22+E24)/((E15-E16-E23)/E13)/E9</f>
        <v/>
      </c>
      <c r="F154" s="57">
        <f>(F18+F19+F20+F21+F22+F24)/((F15-F16-F23)/F13)/F9</f>
        <v/>
      </c>
      <c r="G154" s="57">
        <f>(G18+G19+G20+G21+G22+G24)/((G15-G16-G23)/G13)/G9</f>
        <v/>
      </c>
      <c r="H154" s="57">
        <f>(H18+H19+H20+H21+H22+H24)/((H15-H16-H23)/H13)/H9</f>
        <v/>
      </c>
      <c r="I154" s="57">
        <f>(I18+I19+I20+I21+I22+I24)/((I15-I16-I23)/I13)/I9</f>
        <v/>
      </c>
      <c r="J154" s="57">
        <f>(J18+J19+J20+J21+J22+J24)/((J15-J16-J23)/J13)/J9</f>
        <v/>
      </c>
      <c r="K154" s="57">
        <f>(K18+K19+K20+K21+K22+K24)/((K15-K16-K23)/K13)/K9</f>
        <v/>
      </c>
      <c r="L154" s="57">
        <f>(L18+L19+L20+L21+L22+L24)/((L15-L16-L23)/L13)/L9</f>
        <v/>
      </c>
      <c r="M154" s="57">
        <f>(M18+M19+M20+M21+M22+M24)/((M15-M16-M23)/M13)/M9</f>
        <v/>
      </c>
      <c r="N154" s="57">
        <f>(N18+N19+N20+N21+N22+N24)/((N15-N16-N23)/N13)/N9</f>
        <v/>
      </c>
      <c r="O154" s="57">
        <f>(O18+O19+O20+O21+O22+O24)/((O15-O16-O23)/O13)/O9</f>
        <v/>
      </c>
      <c r="P154" s="57">
        <f>(P18+P19+P20+P21+P22+P24)/((P15-P16-P23)/P13)/P9</f>
        <v/>
      </c>
      <c r="Q154" s="57">
        <f>(Q18+Q19+Q20+Q21+Q22+Q24)/((Q15-Q16-Q23)/Q13)/Q9</f>
        <v/>
      </c>
      <c r="R154" s="57">
        <f>(R18+R19+R20+R21+R22+R24)/((R15-R16-R23)/R13)/R9</f>
        <v/>
      </c>
      <c r="S154" s="57">
        <f>(S18+S19+S20+S21+S22+S24)/((S15-S16-S23)/S13)/S9</f>
        <v/>
      </c>
      <c r="T154" s="57">
        <f>(T18+T19+T20+T21+T22+T24)/((T15-T16-T23)/T13)/T9</f>
        <v/>
      </c>
      <c r="U154" s="57">
        <f>(U18+U19+U20+U21+U22+U24)/((U15-U16-U23)/U13)/U9</f>
        <v/>
      </c>
      <c r="V154" s="57">
        <f>(V18+V19+V20+V21+V22+V24)/((V15-V16-V23)/V13)/V9</f>
        <v/>
      </c>
      <c r="W154" s="57">
        <f>(W18+W19+W20+W21+W22+W24)/((W15-W16-W23)/W13)/W9</f>
        <v/>
      </c>
      <c r="X154" s="57">
        <f>(X18+X19+X20+X21+X22+X24)/((X15-X16-X23)/X13)/X9</f>
        <v/>
      </c>
      <c r="Y154" s="57">
        <f>(Y18+Y19+Y20+Y21+Y22+Y24)/((Y15-Y16-Y23)/Y13)/Y9</f>
        <v/>
      </c>
      <c r="Z154" s="57">
        <f>(Z18+Z19+Z20+Z21+Z22+Z24)/((Z15-Z16-Z23)/Z13)/Z9</f>
        <v/>
      </c>
      <c r="AA154" s="57">
        <f>(AA18+AA19+AA20+AA21+AA22+AA24)/((AA15-AA16-AA23)/AA13)/AA9</f>
        <v/>
      </c>
      <c r="AB154" s="57">
        <f>(AB18+AB19+AB20+AB21+AB22+AB24)/((AB15-AB16-AB23)/AB13)/AB9</f>
        <v/>
      </c>
      <c r="AC154" s="57">
        <f>(AC18+AC19+AC20+AC21+AC22+AC24)/((AC15-AC16-AC23)/AC13)/AC9</f>
        <v/>
      </c>
      <c r="AD154" s="57">
        <f>(AD18+AD19+AD20+AD21+AD22+AD24)/((AD15-AD16-AD23)/AD13)/AD9</f>
        <v/>
      </c>
      <c r="AE154" s="57">
        <f>(AE18+AE19+AE20+AE21+AE22+AE24)/((AE15-AE16-AE23)/AE13)/AE9</f>
        <v/>
      </c>
      <c r="AF154" s="57">
        <f>(AF18+AF19+AF20+AF21+AF22+AF24)/((AF15-AF16-AF23)/AF13)/AF9</f>
        <v/>
      </c>
      <c r="AG154" s="57">
        <f>(AG18+AG19+AG20+AG21+AG22+AG24)/((AG15-AG16-AG23)/AG13)/AG9</f>
        <v/>
      </c>
      <c r="AH154" s="57">
        <f>(AH18+AH19+AH20+AH21+AH22+AH24)/((AH15-AH16-AH23)/AH13)/AH9</f>
        <v/>
      </c>
      <c r="AI154" s="57">
        <f>(AI18+AI19+AI20+AI21+AI22+AI24)/((AI15-AI16-AI23)/AI13)/AI9</f>
        <v/>
      </c>
      <c r="AJ154" s="57">
        <f>(AJ18+AJ19+AJ20+AJ21+AJ22+AJ24)/((AJ15-AJ16-AJ23)/AJ13)/AJ9</f>
        <v/>
      </c>
      <c r="AK154" s="57">
        <f>(AK18+AK19+AK20+AK21+AK22+AK24)/((AK15-AK16-AK23)/AK13)/AK9</f>
        <v/>
      </c>
      <c r="AL154" s="57">
        <f>(AL18+AL19+AL20+AL21+AL22+AL24)/((AL15-AL16-AL23)/AL13)/AL9</f>
        <v/>
      </c>
    </row>
    <row r="155">
      <c r="A155" s="6" t="inlineStr">
        <is>
          <t>BE total mensual</t>
        </is>
      </c>
      <c r="B155" s="24" t="inlineStr">
        <is>
          <t>tickets/día</t>
        </is>
      </c>
      <c r="C155" s="57">
        <f>(C18+C19+C20+C21+C22+C24+C27+C29)/((C15-C16-C23)/C13)/C9</f>
        <v/>
      </c>
      <c r="D155" s="57">
        <f>(D18+D19+D20+D21+D22+D24+D27+D29)/((D15-D16-D23)/D13)/D9</f>
        <v/>
      </c>
      <c r="E155" s="57">
        <f>(E18+E19+E20+E21+E22+E24+E27+E29)/((E15-E16-E23)/E13)/E9</f>
        <v/>
      </c>
      <c r="F155" s="57">
        <f>(F18+F19+F20+F21+F22+F24+F27+F29)/((F15-F16-F23)/F13)/F9</f>
        <v/>
      </c>
      <c r="G155" s="57">
        <f>(G18+G19+G20+G21+G22+G24+G27+G29)/((G15-G16-G23)/G13)/G9</f>
        <v/>
      </c>
      <c r="H155" s="57">
        <f>(H18+H19+H20+H21+H22+H24+H27+H29)/((H15-H16-H23)/H13)/H9</f>
        <v/>
      </c>
      <c r="I155" s="57">
        <f>(I18+I19+I20+I21+I22+I24+I27+I29)/((I15-I16-I23)/I13)/I9</f>
        <v/>
      </c>
      <c r="J155" s="57">
        <f>(J18+J19+J20+J21+J22+J24+J27+J29)/((J15-J16-J23)/J13)/J9</f>
        <v/>
      </c>
      <c r="K155" s="57">
        <f>(K18+K19+K20+K21+K22+K24+K27+K29)/((K15-K16-K23)/K13)/K9</f>
        <v/>
      </c>
      <c r="L155" s="57">
        <f>(L18+L19+L20+L21+L22+L24+L27+L29)/((L15-L16-L23)/L13)/L9</f>
        <v/>
      </c>
      <c r="M155" s="57">
        <f>(M18+M19+M20+M21+M22+M24+M27+M29)/((M15-M16-M23)/M13)/M9</f>
        <v/>
      </c>
      <c r="N155" s="57">
        <f>(N18+N19+N20+N21+N22+N24+N27+N29)/((N15-N16-N23)/N13)/N9</f>
        <v/>
      </c>
      <c r="O155" s="57">
        <f>(O18+O19+O20+O21+O22+O24+O27+O29)/((O15-O16-O23)/O13)/O9</f>
        <v/>
      </c>
      <c r="P155" s="57">
        <f>(P18+P19+P20+P21+P22+P24+P27+P29)/((P15-P16-P23)/P13)/P9</f>
        <v/>
      </c>
      <c r="Q155" s="57">
        <f>(Q18+Q19+Q20+Q21+Q22+Q24+Q27+Q29)/((Q15-Q16-Q23)/Q13)/Q9</f>
        <v/>
      </c>
      <c r="R155" s="57">
        <f>(R18+R19+R20+R21+R22+R24+R27+R29)/((R15-R16-R23)/R13)/R9</f>
        <v/>
      </c>
      <c r="S155" s="57">
        <f>(S18+S19+S20+S21+S22+S24+S27+S29)/((S15-S16-S23)/S13)/S9</f>
        <v/>
      </c>
      <c r="T155" s="57">
        <f>(T18+T19+T20+T21+T22+T24+T27+T29)/((T15-T16-T23)/T13)/T9</f>
        <v/>
      </c>
      <c r="U155" s="57">
        <f>(U18+U19+U20+U21+U22+U24+U27+U29)/((U15-U16-U23)/U13)/U9</f>
        <v/>
      </c>
      <c r="V155" s="57">
        <f>(V18+V19+V20+V21+V22+V24+V27+V29)/((V15-V16-V23)/V13)/V9</f>
        <v/>
      </c>
      <c r="W155" s="57">
        <f>(W18+W19+W20+W21+W22+W24+W27+W29)/((W15-W16-W23)/W13)/W9</f>
        <v/>
      </c>
      <c r="X155" s="57">
        <f>(X18+X19+X20+X21+X22+X24+X27+X29)/((X15-X16-X23)/X13)/X9</f>
        <v/>
      </c>
      <c r="Y155" s="57">
        <f>(Y18+Y19+Y20+Y21+Y22+Y24+Y27+Y29)/((Y15-Y16-Y23)/Y13)/Y9</f>
        <v/>
      </c>
      <c r="Z155" s="57">
        <f>(Z18+Z19+Z20+Z21+Z22+Z24+Z27+Z29)/((Z15-Z16-Z23)/Z13)/Z9</f>
        <v/>
      </c>
      <c r="AA155" s="57">
        <f>(AA18+AA19+AA20+AA21+AA22+AA24+AA27+AA29)/((AA15-AA16-AA23)/AA13)/AA9</f>
        <v/>
      </c>
      <c r="AB155" s="57">
        <f>(AB18+AB19+AB20+AB21+AB22+AB24+AB27+AB29)/((AB15-AB16-AB23)/AB13)/AB9</f>
        <v/>
      </c>
      <c r="AC155" s="57">
        <f>(AC18+AC19+AC20+AC21+AC22+AC24+AC27+AC29)/((AC15-AC16-AC23)/AC13)/AC9</f>
        <v/>
      </c>
      <c r="AD155" s="57">
        <f>(AD18+AD19+AD20+AD21+AD22+AD24+AD27+AD29)/((AD15-AD16-AD23)/AD13)/AD9</f>
        <v/>
      </c>
      <c r="AE155" s="57">
        <f>(AE18+AE19+AE20+AE21+AE22+AE24+AE27+AE29)/((AE15-AE16-AE23)/AE13)/AE9</f>
        <v/>
      </c>
      <c r="AF155" s="57">
        <f>(AF18+AF19+AF20+AF21+AF22+AF24+AF27+AF29)/((AF15-AF16-AF23)/AF13)/AF9</f>
        <v/>
      </c>
      <c r="AG155" s="57">
        <f>(AG18+AG19+AG20+AG21+AG22+AG24+AG27+AG29)/((AG15-AG16-AG23)/AG13)/AG9</f>
        <v/>
      </c>
      <c r="AH155" s="57">
        <f>(AH18+AH19+AH20+AH21+AH22+AH24+AH27+AH29)/((AH15-AH16-AH23)/AH13)/AH9</f>
        <v/>
      </c>
      <c r="AI155" s="57">
        <f>(AI18+AI19+AI20+AI21+AI22+AI24+AI27+AI29)/((AI15-AI16-AI23)/AI13)/AI9</f>
        <v/>
      </c>
      <c r="AJ155" s="57">
        <f>(AJ18+AJ19+AJ20+AJ21+AJ22+AJ24+AJ27+AJ29)/((AJ15-AJ16-AJ23)/AJ13)/AJ9</f>
        <v/>
      </c>
      <c r="AK155" s="57">
        <f>(AK18+AK19+AK20+AK21+AK22+AK24+AK27+AK29)/((AK15-AK16-AK23)/AK13)/AK9</f>
        <v/>
      </c>
      <c r="AL155" s="57">
        <f>(AL18+AL19+AL20+AL21+AL22+AL24+AL27+AL29)/((AL15-AL16-AL23)/AL13)/AL9</f>
        <v/>
      </c>
    </row>
    <row r="156">
      <c r="A156" s="6" t="inlineStr">
        <is>
          <t>Margen de seguridad mensual</t>
        </is>
      </c>
      <c r="B156" s="24" t="inlineStr">
        <is>
          <t>%</t>
        </is>
      </c>
      <c r="C156" s="67">
        <f>IFERROR((C12-C155)/C12,0)</f>
        <v/>
      </c>
      <c r="D156" s="67">
        <f>IFERROR((D12-D155)/D12,0)</f>
        <v/>
      </c>
      <c r="E156" s="67">
        <f>IFERROR((E12-E155)/E12,0)</f>
        <v/>
      </c>
      <c r="F156" s="67">
        <f>IFERROR((F12-F155)/F12,0)</f>
        <v/>
      </c>
      <c r="G156" s="67">
        <f>IFERROR((G12-G155)/G12,0)</f>
        <v/>
      </c>
      <c r="H156" s="67">
        <f>IFERROR((H12-H155)/H12,0)</f>
        <v/>
      </c>
      <c r="I156" s="67">
        <f>IFERROR((I12-I155)/I12,0)</f>
        <v/>
      </c>
      <c r="J156" s="67">
        <f>IFERROR((J12-J155)/J12,0)</f>
        <v/>
      </c>
      <c r="K156" s="67">
        <f>IFERROR((K12-K155)/K12,0)</f>
        <v/>
      </c>
      <c r="L156" s="67">
        <f>IFERROR((L12-L155)/L12,0)</f>
        <v/>
      </c>
      <c r="M156" s="67">
        <f>IFERROR((M12-M155)/M12,0)</f>
        <v/>
      </c>
      <c r="N156" s="67">
        <f>IFERROR((N12-N155)/N12,0)</f>
        <v/>
      </c>
      <c r="O156" s="67">
        <f>IFERROR((O12-O155)/O12,0)</f>
        <v/>
      </c>
      <c r="P156" s="67">
        <f>IFERROR((P12-P155)/P12,0)</f>
        <v/>
      </c>
      <c r="Q156" s="67">
        <f>IFERROR((Q12-Q155)/Q12,0)</f>
        <v/>
      </c>
      <c r="R156" s="67">
        <f>IFERROR((R12-R155)/R12,0)</f>
        <v/>
      </c>
      <c r="S156" s="67">
        <f>IFERROR((S12-S155)/S12,0)</f>
        <v/>
      </c>
      <c r="T156" s="67">
        <f>IFERROR((T12-T155)/T12,0)</f>
        <v/>
      </c>
      <c r="U156" s="67">
        <f>IFERROR((U12-U155)/U12,0)</f>
        <v/>
      </c>
      <c r="V156" s="67">
        <f>IFERROR((V12-V155)/V12,0)</f>
        <v/>
      </c>
      <c r="W156" s="67">
        <f>IFERROR((W12-W155)/W12,0)</f>
        <v/>
      </c>
      <c r="X156" s="67">
        <f>IFERROR((X12-X155)/X12,0)</f>
        <v/>
      </c>
      <c r="Y156" s="67">
        <f>IFERROR((Y12-Y155)/Y12,0)</f>
        <v/>
      </c>
      <c r="Z156" s="67">
        <f>IFERROR((Z12-Z155)/Z12,0)</f>
        <v/>
      </c>
      <c r="AA156" s="67">
        <f>IFERROR((AA12-AA155)/AA12,0)</f>
        <v/>
      </c>
      <c r="AB156" s="67">
        <f>IFERROR((AB12-AB155)/AB12,0)</f>
        <v/>
      </c>
      <c r="AC156" s="67">
        <f>IFERROR((AC12-AC155)/AC12,0)</f>
        <v/>
      </c>
      <c r="AD156" s="67">
        <f>IFERROR((AD12-AD155)/AD12,0)</f>
        <v/>
      </c>
      <c r="AE156" s="67">
        <f>IFERROR((AE12-AE155)/AE12,0)</f>
        <v/>
      </c>
      <c r="AF156" s="67">
        <f>IFERROR((AF12-AF155)/AF12,0)</f>
        <v/>
      </c>
      <c r="AG156" s="67">
        <f>IFERROR((AG12-AG155)/AG12,0)</f>
        <v/>
      </c>
      <c r="AH156" s="67">
        <f>IFERROR((AH12-AH155)/AH12,0)</f>
        <v/>
      </c>
      <c r="AI156" s="67">
        <f>IFERROR((AI12-AI155)/AI12,0)</f>
        <v/>
      </c>
      <c r="AJ156" s="67">
        <f>IFERROR((AJ12-AJ155)/AJ12,0)</f>
        <v/>
      </c>
      <c r="AK156" s="67">
        <f>IFERROR((AK12-AK155)/AK12,0)</f>
        <v/>
      </c>
      <c r="AL156" s="67">
        <f>IFERROR((AL12-AL155)/AL12,0)</f>
        <v/>
      </c>
    </row>
  </sheetData>
  <mergeCells count="8">
    <mergeCell ref="A108:AP108"/>
    <mergeCell ref="A116:AP116"/>
    <mergeCell ref="A58:D58"/>
    <mergeCell ref="A37:AP37"/>
    <mergeCell ref="A11:AP11"/>
    <mergeCell ref="A74:AP74"/>
    <mergeCell ref="A153:AP153"/>
    <mergeCell ref="A51:AP51"/>
  </mergeCells>
  <conditionalFormatting sqref="C49:AL49">
    <cfRule type="cellIs" priority="1" operator="equal" dxfId="0">
      <formula>"Alerta"</formula>
    </cfRule>
  </conditionalFormatting>
  <conditionalFormatting sqref="C26:AL26">
    <cfRule type="cellIs" priority="2" operator="lessThan" dxfId="1">
      <formula>0</formula>
    </cfRule>
  </conditionalFormatting>
  <conditionalFormatting sqref="C32:AL32">
    <cfRule type="cellIs" priority="3" operator="lessThan" dxfId="2">
      <formula>0</formula>
    </cfRule>
  </conditionalFormatting>
  <conditionalFormatting sqref="C33:AL33">
    <cfRule type="cellIs" priority="4" operator="lessThan" dxfId="1">
      <formula>0.6</formula>
    </cfRule>
  </conditionalFormatting>
  <conditionalFormatting sqref="C34:AL34">
    <cfRule type="cellIs" priority="5" operator="lessThan" dxfId="1">
      <formula>0.1</formula>
    </cfRule>
  </conditionalFormatting>
  <dataValidations count="1">
    <dataValidation sqref="B3" showDropDown="0" showInputMessage="0" showErrorMessage="0" allowBlank="0" errorTitle="Selector no válido" error="Selecciona un escenario entre 1 y 3." promptTitle="Escenario" prompt="1 = Pesimista, 2 = Base, 3 = Optimista" type="whole" operator="between">
      <formula1>1</formula1>
      <formula2>3</formula2>
    </dataValidation>
  </dataValidations>
  <printOptions gridLines="0"/>
  <pageMargins left="0.75" right="0.75" top="1" bottom="1" header="0.5" footer="0.5"/>
  <pageSetup orientation="landscape" paperSize="9" fitToHeight="0" fitToWidth="1"/>
  <headerFooter>
    <oddHeader>&amp;CCafetería Aurora — Modelo 2026–2028</oddHeader>
    <oddFooter>&amp;CPágina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C4623B"/>
    <outlinePr summaryBelow="1" summaryRight="1"/>
    <pageSetUpPr fitToPage="1"/>
  </sheetPr>
  <dimension ref="A1:AP156"/>
  <sheetViews>
    <sheetView showGridLines="1" zoomScale="85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3" customWidth="1" min="39" max="39"/>
    <col width="13" customWidth="1" min="40" max="40"/>
    <col width="13" customWidth="1" min="41" max="41"/>
    <col width="13" customWidth="1" min="42" max="42"/>
  </cols>
  <sheetData>
    <row r="1">
      <c r="A1" s="53" t="inlineStr">
        <is>
          <t>Cafetería Aurora — Escenario Base</t>
        </is>
      </c>
    </row>
    <row r="2">
      <c r="A2" s="8" t="inlineStr">
        <is>
          <t>EUR, sin IVA. Solo se editan las hojas de entrada.</t>
        </is>
      </c>
    </row>
    <row r="3">
      <c r="A3" t="inlineStr">
        <is>
          <t>Selector (1/2/3):</t>
        </is>
      </c>
      <c r="B3" s="7" t="n">
        <v>2</v>
      </c>
      <c r="C3" s="50" t="inlineStr">
        <is>
          <t>1 = Pesimista · 2 = Base · 3 = Optimista</t>
        </is>
      </c>
    </row>
    <row r="4">
      <c r="A4" t="inlineStr">
        <is>
          <t>Escenario:</t>
        </is>
      </c>
      <c r="B4" s="54">
        <f>CHOOSE(B3,"Pesimista","Base","Optimista")</f>
        <v/>
      </c>
      <c r="C4" s="50" t="inlineStr">
        <is>
          <t>Cambia el selector para ver el mismo modelo con los supuestos de otro escenario.</t>
        </is>
      </c>
    </row>
    <row r="5">
      <c r="A5" s="12" t="inlineStr">
        <is>
          <t>Índice de mes</t>
        </is>
      </c>
      <c r="B5" s="28" t="inlineStr">
        <is>
          <t>mes</t>
        </is>
      </c>
      <c r="C5" s="7" t="n">
        <v>1</v>
      </c>
      <c r="D5" s="37">
        <f>C5+1</f>
        <v/>
      </c>
      <c r="E5" s="37">
        <f>D5+1</f>
        <v/>
      </c>
      <c r="F5" s="37">
        <f>E5+1</f>
        <v/>
      </c>
      <c r="G5" s="37">
        <f>F5+1</f>
        <v/>
      </c>
      <c r="H5" s="37">
        <f>G5+1</f>
        <v/>
      </c>
      <c r="I5" s="37">
        <f>H5+1</f>
        <v/>
      </c>
      <c r="J5" s="37">
        <f>I5+1</f>
        <v/>
      </c>
      <c r="K5" s="37">
        <f>J5+1</f>
        <v/>
      </c>
      <c r="L5" s="37">
        <f>K5+1</f>
        <v/>
      </c>
      <c r="M5" s="37">
        <f>L5+1</f>
        <v/>
      </c>
      <c r="N5" s="37">
        <f>M5+1</f>
        <v/>
      </c>
      <c r="O5" s="37">
        <f>N5+1</f>
        <v/>
      </c>
      <c r="P5" s="37">
        <f>O5+1</f>
        <v/>
      </c>
      <c r="Q5" s="37">
        <f>P5+1</f>
        <v/>
      </c>
      <c r="R5" s="37">
        <f>Q5+1</f>
        <v/>
      </c>
      <c r="S5" s="37">
        <f>R5+1</f>
        <v/>
      </c>
      <c r="T5" s="37">
        <f>S5+1</f>
        <v/>
      </c>
      <c r="U5" s="37">
        <f>T5+1</f>
        <v/>
      </c>
      <c r="V5" s="37">
        <f>U5+1</f>
        <v/>
      </c>
      <c r="W5" s="37">
        <f>V5+1</f>
        <v/>
      </c>
      <c r="X5" s="37">
        <f>W5+1</f>
        <v/>
      </c>
      <c r="Y5" s="37">
        <f>X5+1</f>
        <v/>
      </c>
      <c r="Z5" s="37">
        <f>Y5+1</f>
        <v/>
      </c>
      <c r="AA5" s="37">
        <f>Z5+1</f>
        <v/>
      </c>
      <c r="AB5" s="37">
        <f>AA5+1</f>
        <v/>
      </c>
      <c r="AC5" s="37">
        <f>AB5+1</f>
        <v/>
      </c>
      <c r="AD5" s="37">
        <f>AC5+1</f>
        <v/>
      </c>
      <c r="AE5" s="37">
        <f>AD5+1</f>
        <v/>
      </c>
      <c r="AF5" s="37">
        <f>AE5+1</f>
        <v/>
      </c>
      <c r="AG5" s="37">
        <f>AF5+1</f>
        <v/>
      </c>
      <c r="AH5" s="37">
        <f>AG5+1</f>
        <v/>
      </c>
      <c r="AI5" s="37">
        <f>AH5+1</f>
        <v/>
      </c>
      <c r="AJ5" s="37">
        <f>AI5+1</f>
        <v/>
      </c>
      <c r="AK5" s="37">
        <f>AJ5+1</f>
        <v/>
      </c>
      <c r="AL5" s="37">
        <f>AK5+1</f>
        <v/>
      </c>
    </row>
    <row r="6">
      <c r="A6" s="12" t="inlineStr">
        <is>
          <t>Fecha</t>
        </is>
      </c>
      <c r="B6" s="28" t="inlineStr">
        <is>
          <t>fecha</t>
        </is>
      </c>
      <c r="C6" s="55">
        <f>DATE(2026,1,1)</f>
        <v/>
      </c>
      <c r="D6" s="56">
        <f>EDATE(C6,1)</f>
        <v/>
      </c>
      <c r="E6" s="56">
        <f>EDATE(D6,1)</f>
        <v/>
      </c>
      <c r="F6" s="56">
        <f>EDATE(E6,1)</f>
        <v/>
      </c>
      <c r="G6" s="56">
        <f>EDATE(F6,1)</f>
        <v/>
      </c>
      <c r="H6" s="56">
        <f>EDATE(G6,1)</f>
        <v/>
      </c>
      <c r="I6" s="56">
        <f>EDATE(H6,1)</f>
        <v/>
      </c>
      <c r="J6" s="56">
        <f>EDATE(I6,1)</f>
        <v/>
      </c>
      <c r="K6" s="56">
        <f>EDATE(J6,1)</f>
        <v/>
      </c>
      <c r="L6" s="56">
        <f>EDATE(K6,1)</f>
        <v/>
      </c>
      <c r="M6" s="56">
        <f>EDATE(L6,1)</f>
        <v/>
      </c>
      <c r="N6" s="56">
        <f>EDATE(M6,1)</f>
        <v/>
      </c>
      <c r="O6" s="56">
        <f>EDATE(N6,1)</f>
        <v/>
      </c>
      <c r="P6" s="56">
        <f>EDATE(O6,1)</f>
        <v/>
      </c>
      <c r="Q6" s="56">
        <f>EDATE(P6,1)</f>
        <v/>
      </c>
      <c r="R6" s="56">
        <f>EDATE(Q6,1)</f>
        <v/>
      </c>
      <c r="S6" s="56">
        <f>EDATE(R6,1)</f>
        <v/>
      </c>
      <c r="T6" s="56">
        <f>EDATE(S6,1)</f>
        <v/>
      </c>
      <c r="U6" s="56">
        <f>EDATE(T6,1)</f>
        <v/>
      </c>
      <c r="V6" s="56">
        <f>EDATE(U6,1)</f>
        <v/>
      </c>
      <c r="W6" s="56">
        <f>EDATE(V6,1)</f>
        <v/>
      </c>
      <c r="X6" s="56">
        <f>EDATE(W6,1)</f>
        <v/>
      </c>
      <c r="Y6" s="56">
        <f>EDATE(X6,1)</f>
        <v/>
      </c>
      <c r="Z6" s="56">
        <f>EDATE(Y6,1)</f>
        <v/>
      </c>
      <c r="AA6" s="56">
        <f>EDATE(Z6,1)</f>
        <v/>
      </c>
      <c r="AB6" s="56">
        <f>EDATE(AA6,1)</f>
        <v/>
      </c>
      <c r="AC6" s="56">
        <f>EDATE(AB6,1)</f>
        <v/>
      </c>
      <c r="AD6" s="56">
        <f>EDATE(AC6,1)</f>
        <v/>
      </c>
      <c r="AE6" s="56">
        <f>EDATE(AD6,1)</f>
        <v/>
      </c>
      <c r="AF6" s="56">
        <f>EDATE(AE6,1)</f>
        <v/>
      </c>
      <c r="AG6" s="56">
        <f>EDATE(AF6,1)</f>
        <v/>
      </c>
      <c r="AH6" s="56">
        <f>EDATE(AG6,1)</f>
        <v/>
      </c>
      <c r="AI6" s="56">
        <f>EDATE(AH6,1)</f>
        <v/>
      </c>
      <c r="AJ6" s="56">
        <f>EDATE(AI6,1)</f>
        <v/>
      </c>
      <c r="AK6" s="56">
        <f>EDATE(AJ6,1)</f>
        <v/>
      </c>
      <c r="AL6" s="56">
        <f>EDATE(AK6,1)</f>
        <v/>
      </c>
    </row>
    <row r="7">
      <c r="A7" s="12" t="inlineStr">
        <is>
          <t>Año</t>
        </is>
      </c>
      <c r="B7" s="28" t="inlineStr">
        <is>
          <t>1–3</t>
        </is>
      </c>
      <c r="C7" s="37">
        <f>ROUNDUP(C5/12,0)</f>
        <v/>
      </c>
      <c r="D7" s="37">
        <f>ROUNDUP(D5/12,0)</f>
        <v/>
      </c>
      <c r="E7" s="37">
        <f>ROUNDUP(E5/12,0)</f>
        <v/>
      </c>
      <c r="F7" s="37">
        <f>ROUNDUP(F5/12,0)</f>
        <v/>
      </c>
      <c r="G7" s="37">
        <f>ROUNDUP(G5/12,0)</f>
        <v/>
      </c>
      <c r="H7" s="37">
        <f>ROUNDUP(H5/12,0)</f>
        <v/>
      </c>
      <c r="I7" s="37">
        <f>ROUNDUP(I5/12,0)</f>
        <v/>
      </c>
      <c r="J7" s="37">
        <f>ROUNDUP(J5/12,0)</f>
        <v/>
      </c>
      <c r="K7" s="37">
        <f>ROUNDUP(K5/12,0)</f>
        <v/>
      </c>
      <c r="L7" s="37">
        <f>ROUNDUP(L5/12,0)</f>
        <v/>
      </c>
      <c r="M7" s="37">
        <f>ROUNDUP(M5/12,0)</f>
        <v/>
      </c>
      <c r="N7" s="37">
        <f>ROUNDUP(N5/12,0)</f>
        <v/>
      </c>
      <c r="O7" s="37">
        <f>ROUNDUP(O5/12,0)</f>
        <v/>
      </c>
      <c r="P7" s="37">
        <f>ROUNDUP(P5/12,0)</f>
        <v/>
      </c>
      <c r="Q7" s="37">
        <f>ROUNDUP(Q5/12,0)</f>
        <v/>
      </c>
      <c r="R7" s="37">
        <f>ROUNDUP(R5/12,0)</f>
        <v/>
      </c>
      <c r="S7" s="37">
        <f>ROUNDUP(S5/12,0)</f>
        <v/>
      </c>
      <c r="T7" s="37">
        <f>ROUNDUP(T5/12,0)</f>
        <v/>
      </c>
      <c r="U7" s="37">
        <f>ROUNDUP(U5/12,0)</f>
        <v/>
      </c>
      <c r="V7" s="37">
        <f>ROUNDUP(V5/12,0)</f>
        <v/>
      </c>
      <c r="W7" s="37">
        <f>ROUNDUP(W5/12,0)</f>
        <v/>
      </c>
      <c r="X7" s="37">
        <f>ROUNDUP(X5/12,0)</f>
        <v/>
      </c>
      <c r="Y7" s="37">
        <f>ROUNDUP(Y5/12,0)</f>
        <v/>
      </c>
      <c r="Z7" s="37">
        <f>ROUNDUP(Z5/12,0)</f>
        <v/>
      </c>
      <c r="AA7" s="37">
        <f>ROUNDUP(AA5/12,0)</f>
        <v/>
      </c>
      <c r="AB7" s="37">
        <f>ROUNDUP(AB5/12,0)</f>
        <v/>
      </c>
      <c r="AC7" s="37">
        <f>ROUNDUP(AC5/12,0)</f>
        <v/>
      </c>
      <c r="AD7" s="37">
        <f>ROUNDUP(AD5/12,0)</f>
        <v/>
      </c>
      <c r="AE7" s="37">
        <f>ROUNDUP(AE5/12,0)</f>
        <v/>
      </c>
      <c r="AF7" s="37">
        <f>ROUNDUP(AF5/12,0)</f>
        <v/>
      </c>
      <c r="AG7" s="37">
        <f>ROUNDUP(AG5/12,0)</f>
        <v/>
      </c>
      <c r="AH7" s="37">
        <f>ROUNDUP(AH5/12,0)</f>
        <v/>
      </c>
      <c r="AI7" s="37">
        <f>ROUNDUP(AI5/12,0)</f>
        <v/>
      </c>
      <c r="AJ7" s="37">
        <f>ROUNDUP(AJ5/12,0)</f>
        <v/>
      </c>
      <c r="AK7" s="37">
        <f>ROUNDUP(AK5/12,0)</f>
        <v/>
      </c>
      <c r="AL7" s="37">
        <f>ROUNDUP(AL5/12,0)</f>
        <v/>
      </c>
    </row>
    <row r="8">
      <c r="A8" s="12" t="inlineStr">
        <is>
          <t>Mes</t>
        </is>
      </c>
      <c r="B8" s="28" t="inlineStr">
        <is>
          <t>1–12</t>
        </is>
      </c>
      <c r="C8" s="37">
        <f>MOD(C5-1,12)+1</f>
        <v/>
      </c>
      <c r="D8" s="37">
        <f>MOD(D5-1,12)+1</f>
        <v/>
      </c>
      <c r="E8" s="37">
        <f>MOD(E5-1,12)+1</f>
        <v/>
      </c>
      <c r="F8" s="37">
        <f>MOD(F5-1,12)+1</f>
        <v/>
      </c>
      <c r="G8" s="37">
        <f>MOD(G5-1,12)+1</f>
        <v/>
      </c>
      <c r="H8" s="37">
        <f>MOD(H5-1,12)+1</f>
        <v/>
      </c>
      <c r="I8" s="37">
        <f>MOD(I5-1,12)+1</f>
        <v/>
      </c>
      <c r="J8" s="37">
        <f>MOD(J5-1,12)+1</f>
        <v/>
      </c>
      <c r="K8" s="37">
        <f>MOD(K5-1,12)+1</f>
        <v/>
      </c>
      <c r="L8" s="37">
        <f>MOD(L5-1,12)+1</f>
        <v/>
      </c>
      <c r="M8" s="37">
        <f>MOD(M5-1,12)+1</f>
        <v/>
      </c>
      <c r="N8" s="37">
        <f>MOD(N5-1,12)+1</f>
        <v/>
      </c>
      <c r="O8" s="37">
        <f>MOD(O5-1,12)+1</f>
        <v/>
      </c>
      <c r="P8" s="37">
        <f>MOD(P5-1,12)+1</f>
        <v/>
      </c>
      <c r="Q8" s="37">
        <f>MOD(Q5-1,12)+1</f>
        <v/>
      </c>
      <c r="R8" s="37">
        <f>MOD(R5-1,12)+1</f>
        <v/>
      </c>
      <c r="S8" s="37">
        <f>MOD(S5-1,12)+1</f>
        <v/>
      </c>
      <c r="T8" s="37">
        <f>MOD(T5-1,12)+1</f>
        <v/>
      </c>
      <c r="U8" s="37">
        <f>MOD(U5-1,12)+1</f>
        <v/>
      </c>
      <c r="V8" s="37">
        <f>MOD(V5-1,12)+1</f>
        <v/>
      </c>
      <c r="W8" s="37">
        <f>MOD(W5-1,12)+1</f>
        <v/>
      </c>
      <c r="X8" s="37">
        <f>MOD(X5-1,12)+1</f>
        <v/>
      </c>
      <c r="Y8" s="37">
        <f>MOD(Y5-1,12)+1</f>
        <v/>
      </c>
      <c r="Z8" s="37">
        <f>MOD(Z5-1,12)+1</f>
        <v/>
      </c>
      <c r="AA8" s="37">
        <f>MOD(AA5-1,12)+1</f>
        <v/>
      </c>
      <c r="AB8" s="37">
        <f>MOD(AB5-1,12)+1</f>
        <v/>
      </c>
      <c r="AC8" s="37">
        <f>MOD(AC5-1,12)+1</f>
        <v/>
      </c>
      <c r="AD8" s="37">
        <f>MOD(AD5-1,12)+1</f>
        <v/>
      </c>
      <c r="AE8" s="37">
        <f>MOD(AE5-1,12)+1</f>
        <v/>
      </c>
      <c r="AF8" s="37">
        <f>MOD(AF5-1,12)+1</f>
        <v/>
      </c>
      <c r="AG8" s="37">
        <f>MOD(AG5-1,12)+1</f>
        <v/>
      </c>
      <c r="AH8" s="37">
        <f>MOD(AH5-1,12)+1</f>
        <v/>
      </c>
      <c r="AI8" s="37">
        <f>MOD(AI5-1,12)+1</f>
        <v/>
      </c>
      <c r="AJ8" s="37">
        <f>MOD(AJ5-1,12)+1</f>
        <v/>
      </c>
      <c r="AK8" s="37">
        <f>MOD(AK5-1,12)+1</f>
        <v/>
      </c>
      <c r="AL8" s="37">
        <f>MOD(AL5-1,12)+1</f>
        <v/>
      </c>
    </row>
    <row r="9">
      <c r="A9" s="12" t="inlineStr">
        <is>
          <t>Días operativos</t>
        </is>
      </c>
      <c r="B9" s="28" t="inlineStr">
        <is>
          <t>días</t>
        </is>
      </c>
      <c r="C9" s="27">
        <f>INDEX(OpeningDays,1,C8)</f>
        <v/>
      </c>
      <c r="D9" s="27">
        <f>INDEX(OpeningDays,1,D8)</f>
        <v/>
      </c>
      <c r="E9" s="27">
        <f>INDEX(OpeningDays,1,E8)</f>
        <v/>
      </c>
      <c r="F9" s="27">
        <f>INDEX(OpeningDays,1,F8)</f>
        <v/>
      </c>
      <c r="G9" s="27">
        <f>INDEX(OpeningDays,1,G8)</f>
        <v/>
      </c>
      <c r="H9" s="27">
        <f>INDEX(OpeningDays,1,H8)</f>
        <v/>
      </c>
      <c r="I9" s="27">
        <f>INDEX(OpeningDays,1,I8)</f>
        <v/>
      </c>
      <c r="J9" s="27">
        <f>INDEX(OpeningDays,1,J8)</f>
        <v/>
      </c>
      <c r="K9" s="27">
        <f>INDEX(OpeningDays,1,K8)</f>
        <v/>
      </c>
      <c r="L9" s="27">
        <f>INDEX(OpeningDays,1,L8)</f>
        <v/>
      </c>
      <c r="M9" s="27">
        <f>INDEX(OpeningDays,1,M8)</f>
        <v/>
      </c>
      <c r="N9" s="27">
        <f>INDEX(OpeningDays,1,N8)</f>
        <v/>
      </c>
      <c r="O9" s="27">
        <f>INDEX(OpeningDays,1,O8)</f>
        <v/>
      </c>
      <c r="P9" s="27">
        <f>INDEX(OpeningDays,1,P8)</f>
        <v/>
      </c>
      <c r="Q9" s="27">
        <f>INDEX(OpeningDays,1,Q8)</f>
        <v/>
      </c>
      <c r="R9" s="27">
        <f>INDEX(OpeningDays,1,R8)</f>
        <v/>
      </c>
      <c r="S9" s="27">
        <f>INDEX(OpeningDays,1,S8)</f>
        <v/>
      </c>
      <c r="T9" s="27">
        <f>INDEX(OpeningDays,1,T8)</f>
        <v/>
      </c>
      <c r="U9" s="27">
        <f>INDEX(OpeningDays,1,U8)</f>
        <v/>
      </c>
      <c r="V9" s="27">
        <f>INDEX(OpeningDays,1,V8)</f>
        <v/>
      </c>
      <c r="W9" s="27">
        <f>INDEX(OpeningDays,1,W8)</f>
        <v/>
      </c>
      <c r="X9" s="27">
        <f>INDEX(OpeningDays,1,X8)</f>
        <v/>
      </c>
      <c r="Y9" s="27">
        <f>INDEX(OpeningDays,1,Y8)</f>
        <v/>
      </c>
      <c r="Z9" s="27">
        <f>INDEX(OpeningDays,1,Z8)</f>
        <v/>
      </c>
      <c r="AA9" s="27">
        <f>INDEX(OpeningDays,1,AA8)</f>
        <v/>
      </c>
      <c r="AB9" s="27">
        <f>INDEX(OpeningDays,1,AB8)</f>
        <v/>
      </c>
      <c r="AC9" s="27">
        <f>INDEX(OpeningDays,1,AC8)</f>
        <v/>
      </c>
      <c r="AD9" s="27">
        <f>INDEX(OpeningDays,1,AD8)</f>
        <v/>
      </c>
      <c r="AE9" s="27">
        <f>INDEX(OpeningDays,1,AE8)</f>
        <v/>
      </c>
      <c r="AF9" s="27">
        <f>INDEX(OpeningDays,1,AF8)</f>
        <v/>
      </c>
      <c r="AG9" s="27">
        <f>INDEX(OpeningDays,1,AG8)</f>
        <v/>
      </c>
      <c r="AH9" s="27">
        <f>INDEX(OpeningDays,1,AH8)</f>
        <v/>
      </c>
      <c r="AI9" s="27">
        <f>INDEX(OpeningDays,1,AI8)</f>
        <v/>
      </c>
      <c r="AJ9" s="27">
        <f>INDEX(OpeningDays,1,AJ8)</f>
        <v/>
      </c>
      <c r="AK9" s="27">
        <f>INDEX(OpeningDays,1,AK8)</f>
        <v/>
      </c>
      <c r="AL9" s="27">
        <f>INDEX(OpeningDays,1,AL8)</f>
        <v/>
      </c>
      <c r="AM9" s="27">
        <f>SUM(C9:N9)</f>
        <v/>
      </c>
      <c r="AN9" s="27">
        <f>SUM(O9:Z9)</f>
        <v/>
      </c>
      <c r="AO9" s="27">
        <f>SUM(AA9:AL9)</f>
        <v/>
      </c>
      <c r="AP9" s="27">
        <f>SUM(AM9:AO9)</f>
        <v/>
      </c>
    </row>
    <row r="11" ht="20" customHeight="1">
      <c r="A11" s="16" t="inlineStr">
        <is>
          <t>CUENTA DE RESULTADOS</t>
        </is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</row>
    <row r="12">
      <c r="A12" s="6" t="inlineStr">
        <is>
          <t>Tickets/día</t>
        </is>
      </c>
      <c r="B12" s="24" t="inlineStr">
        <is>
          <t>tickets/día</t>
        </is>
      </c>
      <c r="C12" s="57">
        <f>BaseTicketsDay*INDEX(ScenarioMatrix,1,$B$3)*(1+INDEX(ScenarioMatrix,2,$B$3))^(1-1)*INDEX(Seasonality,1,C8)*IF(1=1,INDEX(Ramp,1,C8),1)</f>
        <v/>
      </c>
      <c r="D12" s="57">
        <f>BaseTicketsDay*INDEX(ScenarioMatrix,1,$B$3)*(1+INDEX(ScenarioMatrix,2,$B$3))^(1-1)*INDEX(Seasonality,1,D8)*IF(1=1,INDEX(Ramp,1,D8),1)</f>
        <v/>
      </c>
      <c r="E12" s="57">
        <f>BaseTicketsDay*INDEX(ScenarioMatrix,1,$B$3)*(1+INDEX(ScenarioMatrix,2,$B$3))^(1-1)*INDEX(Seasonality,1,E8)*IF(1=1,INDEX(Ramp,1,E8),1)</f>
        <v/>
      </c>
      <c r="F12" s="57">
        <f>BaseTicketsDay*INDEX(ScenarioMatrix,1,$B$3)*(1+INDEX(ScenarioMatrix,2,$B$3))^(1-1)*INDEX(Seasonality,1,F8)*IF(1=1,INDEX(Ramp,1,F8),1)</f>
        <v/>
      </c>
      <c r="G12" s="57">
        <f>BaseTicketsDay*INDEX(ScenarioMatrix,1,$B$3)*(1+INDEX(ScenarioMatrix,2,$B$3))^(1-1)*INDEX(Seasonality,1,G8)*IF(1=1,INDEX(Ramp,1,G8),1)</f>
        <v/>
      </c>
      <c r="H12" s="57">
        <f>BaseTicketsDay*INDEX(ScenarioMatrix,1,$B$3)*(1+INDEX(ScenarioMatrix,2,$B$3))^(1-1)*INDEX(Seasonality,1,H8)*IF(1=1,INDEX(Ramp,1,H8),1)</f>
        <v/>
      </c>
      <c r="I12" s="57">
        <f>BaseTicketsDay*INDEX(ScenarioMatrix,1,$B$3)*(1+INDEX(ScenarioMatrix,2,$B$3))^(1-1)*INDEX(Seasonality,1,I8)*IF(1=1,INDEX(Ramp,1,I8),1)</f>
        <v/>
      </c>
      <c r="J12" s="57">
        <f>BaseTicketsDay*INDEX(ScenarioMatrix,1,$B$3)*(1+INDEX(ScenarioMatrix,2,$B$3))^(1-1)*INDEX(Seasonality,1,J8)*IF(1=1,INDEX(Ramp,1,J8),1)</f>
        <v/>
      </c>
      <c r="K12" s="57">
        <f>BaseTicketsDay*INDEX(ScenarioMatrix,1,$B$3)*(1+INDEX(ScenarioMatrix,2,$B$3))^(1-1)*INDEX(Seasonality,1,K8)*IF(1=1,INDEX(Ramp,1,K8),1)</f>
        <v/>
      </c>
      <c r="L12" s="57">
        <f>BaseTicketsDay*INDEX(ScenarioMatrix,1,$B$3)*(1+INDEX(ScenarioMatrix,2,$B$3))^(1-1)*INDEX(Seasonality,1,L8)*IF(1=1,INDEX(Ramp,1,L8),1)</f>
        <v/>
      </c>
      <c r="M12" s="57">
        <f>BaseTicketsDay*INDEX(ScenarioMatrix,1,$B$3)*(1+INDEX(ScenarioMatrix,2,$B$3))^(1-1)*INDEX(Seasonality,1,M8)*IF(1=1,INDEX(Ramp,1,M8),1)</f>
        <v/>
      </c>
      <c r="N12" s="57">
        <f>BaseTicketsDay*INDEX(ScenarioMatrix,1,$B$3)*(1+INDEX(ScenarioMatrix,2,$B$3))^(1-1)*INDEX(Seasonality,1,N8)*IF(1=1,INDEX(Ramp,1,N8),1)</f>
        <v/>
      </c>
      <c r="O12" s="57">
        <f>BaseTicketsDay*INDEX(ScenarioMatrix,1,$B$3)*(1+INDEX(ScenarioMatrix,2,$B$3))^(2-1)*INDEX(Seasonality,1,O8)*IF(2=1,INDEX(Ramp,1,O8),1)</f>
        <v/>
      </c>
      <c r="P12" s="57">
        <f>BaseTicketsDay*INDEX(ScenarioMatrix,1,$B$3)*(1+INDEX(ScenarioMatrix,2,$B$3))^(2-1)*INDEX(Seasonality,1,P8)*IF(2=1,INDEX(Ramp,1,P8),1)</f>
        <v/>
      </c>
      <c r="Q12" s="57">
        <f>BaseTicketsDay*INDEX(ScenarioMatrix,1,$B$3)*(1+INDEX(ScenarioMatrix,2,$B$3))^(2-1)*INDEX(Seasonality,1,Q8)*IF(2=1,INDEX(Ramp,1,Q8),1)</f>
        <v/>
      </c>
      <c r="R12" s="57">
        <f>BaseTicketsDay*INDEX(ScenarioMatrix,1,$B$3)*(1+INDEX(ScenarioMatrix,2,$B$3))^(2-1)*INDEX(Seasonality,1,R8)*IF(2=1,INDEX(Ramp,1,R8),1)</f>
        <v/>
      </c>
      <c r="S12" s="57">
        <f>BaseTicketsDay*INDEX(ScenarioMatrix,1,$B$3)*(1+INDEX(ScenarioMatrix,2,$B$3))^(2-1)*INDEX(Seasonality,1,S8)*IF(2=1,INDEX(Ramp,1,S8),1)</f>
        <v/>
      </c>
      <c r="T12" s="57">
        <f>BaseTicketsDay*INDEX(ScenarioMatrix,1,$B$3)*(1+INDEX(ScenarioMatrix,2,$B$3))^(2-1)*INDEX(Seasonality,1,T8)*IF(2=1,INDEX(Ramp,1,T8),1)</f>
        <v/>
      </c>
      <c r="U12" s="57">
        <f>BaseTicketsDay*INDEX(ScenarioMatrix,1,$B$3)*(1+INDEX(ScenarioMatrix,2,$B$3))^(2-1)*INDEX(Seasonality,1,U8)*IF(2=1,INDEX(Ramp,1,U8),1)</f>
        <v/>
      </c>
      <c r="V12" s="57">
        <f>BaseTicketsDay*INDEX(ScenarioMatrix,1,$B$3)*(1+INDEX(ScenarioMatrix,2,$B$3))^(2-1)*INDEX(Seasonality,1,V8)*IF(2=1,INDEX(Ramp,1,V8),1)</f>
        <v/>
      </c>
      <c r="W12" s="57">
        <f>BaseTicketsDay*INDEX(ScenarioMatrix,1,$B$3)*(1+INDEX(ScenarioMatrix,2,$B$3))^(2-1)*INDEX(Seasonality,1,W8)*IF(2=1,INDEX(Ramp,1,W8),1)</f>
        <v/>
      </c>
      <c r="X12" s="57">
        <f>BaseTicketsDay*INDEX(ScenarioMatrix,1,$B$3)*(1+INDEX(ScenarioMatrix,2,$B$3))^(2-1)*INDEX(Seasonality,1,X8)*IF(2=1,INDEX(Ramp,1,X8),1)</f>
        <v/>
      </c>
      <c r="Y12" s="57">
        <f>BaseTicketsDay*INDEX(ScenarioMatrix,1,$B$3)*(1+INDEX(ScenarioMatrix,2,$B$3))^(2-1)*INDEX(Seasonality,1,Y8)*IF(2=1,INDEX(Ramp,1,Y8),1)</f>
        <v/>
      </c>
      <c r="Z12" s="57">
        <f>BaseTicketsDay*INDEX(ScenarioMatrix,1,$B$3)*(1+INDEX(ScenarioMatrix,2,$B$3))^(2-1)*INDEX(Seasonality,1,Z8)*IF(2=1,INDEX(Ramp,1,Z8),1)</f>
        <v/>
      </c>
      <c r="AA12" s="57">
        <f>BaseTicketsDay*INDEX(ScenarioMatrix,1,$B$3)*(1+INDEX(ScenarioMatrix,2,$B$3))^(3-1)*INDEX(Seasonality,1,AA8)*IF(3=1,INDEX(Ramp,1,AA8),1)</f>
        <v/>
      </c>
      <c r="AB12" s="57">
        <f>BaseTicketsDay*INDEX(ScenarioMatrix,1,$B$3)*(1+INDEX(ScenarioMatrix,2,$B$3))^(3-1)*INDEX(Seasonality,1,AB8)*IF(3=1,INDEX(Ramp,1,AB8),1)</f>
        <v/>
      </c>
      <c r="AC12" s="57">
        <f>BaseTicketsDay*INDEX(ScenarioMatrix,1,$B$3)*(1+INDEX(ScenarioMatrix,2,$B$3))^(3-1)*INDEX(Seasonality,1,AC8)*IF(3=1,INDEX(Ramp,1,AC8),1)</f>
        <v/>
      </c>
      <c r="AD12" s="57">
        <f>BaseTicketsDay*INDEX(ScenarioMatrix,1,$B$3)*(1+INDEX(ScenarioMatrix,2,$B$3))^(3-1)*INDEX(Seasonality,1,AD8)*IF(3=1,INDEX(Ramp,1,AD8),1)</f>
        <v/>
      </c>
      <c r="AE12" s="57">
        <f>BaseTicketsDay*INDEX(ScenarioMatrix,1,$B$3)*(1+INDEX(ScenarioMatrix,2,$B$3))^(3-1)*INDEX(Seasonality,1,AE8)*IF(3=1,INDEX(Ramp,1,AE8),1)</f>
        <v/>
      </c>
      <c r="AF12" s="57">
        <f>BaseTicketsDay*INDEX(ScenarioMatrix,1,$B$3)*(1+INDEX(ScenarioMatrix,2,$B$3))^(3-1)*INDEX(Seasonality,1,AF8)*IF(3=1,INDEX(Ramp,1,AF8),1)</f>
        <v/>
      </c>
      <c r="AG12" s="57">
        <f>BaseTicketsDay*INDEX(ScenarioMatrix,1,$B$3)*(1+INDEX(ScenarioMatrix,2,$B$3))^(3-1)*INDEX(Seasonality,1,AG8)*IF(3=1,INDEX(Ramp,1,AG8),1)</f>
        <v/>
      </c>
      <c r="AH12" s="57">
        <f>BaseTicketsDay*INDEX(ScenarioMatrix,1,$B$3)*(1+INDEX(ScenarioMatrix,2,$B$3))^(3-1)*INDEX(Seasonality,1,AH8)*IF(3=1,INDEX(Ramp,1,AH8),1)</f>
        <v/>
      </c>
      <c r="AI12" s="57">
        <f>BaseTicketsDay*INDEX(ScenarioMatrix,1,$B$3)*(1+INDEX(ScenarioMatrix,2,$B$3))^(3-1)*INDEX(Seasonality,1,AI8)*IF(3=1,INDEX(Ramp,1,AI8),1)</f>
        <v/>
      </c>
      <c r="AJ12" s="57">
        <f>BaseTicketsDay*INDEX(ScenarioMatrix,1,$B$3)*(1+INDEX(ScenarioMatrix,2,$B$3))^(3-1)*INDEX(Seasonality,1,AJ8)*IF(3=1,INDEX(Ramp,1,AJ8),1)</f>
        <v/>
      </c>
      <c r="AK12" s="57">
        <f>BaseTicketsDay*INDEX(ScenarioMatrix,1,$B$3)*(1+INDEX(ScenarioMatrix,2,$B$3))^(3-1)*INDEX(Seasonality,1,AK8)*IF(3=1,INDEX(Ramp,1,AK8),1)</f>
        <v/>
      </c>
      <c r="AL12" s="57">
        <f>BaseTicketsDay*INDEX(ScenarioMatrix,1,$B$3)*(1+INDEX(ScenarioMatrix,2,$B$3))^(3-1)*INDEX(Seasonality,1,AL8)*IF(3=1,INDEX(Ramp,1,AL8),1)</f>
        <v/>
      </c>
      <c r="AM12" s="57">
        <f>SUM(C12:N12)</f>
        <v/>
      </c>
      <c r="AN12" s="57">
        <f>SUM(O12:Z12)</f>
        <v/>
      </c>
      <c r="AO12" s="57">
        <f>SUM(AA12:AL12)</f>
        <v/>
      </c>
      <c r="AP12" s="57">
        <f>SUM(AM12:AO12)</f>
        <v/>
      </c>
    </row>
    <row r="13">
      <c r="A13" s="6" t="inlineStr">
        <is>
          <t>Tickets</t>
        </is>
      </c>
      <c r="B13" s="24" t="inlineStr">
        <is>
          <t>tickets</t>
        </is>
      </c>
      <c r="C13" s="58">
        <f>C12*C9</f>
        <v/>
      </c>
      <c r="D13" s="58">
        <f>D12*D9</f>
        <v/>
      </c>
      <c r="E13" s="58">
        <f>E12*E9</f>
        <v/>
      </c>
      <c r="F13" s="58">
        <f>F12*F9</f>
        <v/>
      </c>
      <c r="G13" s="58">
        <f>G12*G9</f>
        <v/>
      </c>
      <c r="H13" s="58">
        <f>H12*H9</f>
        <v/>
      </c>
      <c r="I13" s="58">
        <f>I12*I9</f>
        <v/>
      </c>
      <c r="J13" s="58">
        <f>J12*J9</f>
        <v/>
      </c>
      <c r="K13" s="58">
        <f>K12*K9</f>
        <v/>
      </c>
      <c r="L13" s="58">
        <f>L12*L9</f>
        <v/>
      </c>
      <c r="M13" s="58">
        <f>M12*M9</f>
        <v/>
      </c>
      <c r="N13" s="58">
        <f>N12*N9</f>
        <v/>
      </c>
      <c r="O13" s="58">
        <f>O12*O9</f>
        <v/>
      </c>
      <c r="P13" s="58">
        <f>P12*P9</f>
        <v/>
      </c>
      <c r="Q13" s="58">
        <f>Q12*Q9</f>
        <v/>
      </c>
      <c r="R13" s="58">
        <f>R12*R9</f>
        <v/>
      </c>
      <c r="S13" s="58">
        <f>S12*S9</f>
        <v/>
      </c>
      <c r="T13" s="58">
        <f>T12*T9</f>
        <v/>
      </c>
      <c r="U13" s="58">
        <f>U12*U9</f>
        <v/>
      </c>
      <c r="V13" s="58">
        <f>V12*V9</f>
        <v/>
      </c>
      <c r="W13" s="58">
        <f>W12*W9</f>
        <v/>
      </c>
      <c r="X13" s="58">
        <f>X12*X9</f>
        <v/>
      </c>
      <c r="Y13" s="58">
        <f>Y12*Y9</f>
        <v/>
      </c>
      <c r="Z13" s="58">
        <f>Z12*Z9</f>
        <v/>
      </c>
      <c r="AA13" s="58">
        <f>AA12*AA9</f>
        <v/>
      </c>
      <c r="AB13" s="58">
        <f>AB12*AB9</f>
        <v/>
      </c>
      <c r="AC13" s="58">
        <f>AC12*AC9</f>
        <v/>
      </c>
      <c r="AD13" s="58">
        <f>AD12*AD9</f>
        <v/>
      </c>
      <c r="AE13" s="58">
        <f>AE12*AE9</f>
        <v/>
      </c>
      <c r="AF13" s="58">
        <f>AF12*AF9</f>
        <v/>
      </c>
      <c r="AG13" s="58">
        <f>AG12*AG9</f>
        <v/>
      </c>
      <c r="AH13" s="58">
        <f>AH12*AH9</f>
        <v/>
      </c>
      <c r="AI13" s="58">
        <f>AI12*AI9</f>
        <v/>
      </c>
      <c r="AJ13" s="58">
        <f>AJ12*AJ9</f>
        <v/>
      </c>
      <c r="AK13" s="58">
        <f>AK12*AK9</f>
        <v/>
      </c>
      <c r="AL13" s="58">
        <f>AL12*AL9</f>
        <v/>
      </c>
      <c r="AM13" s="58">
        <f>SUM(C13:N13)</f>
        <v/>
      </c>
      <c r="AN13" s="58">
        <f>SUM(O13:Z13)</f>
        <v/>
      </c>
      <c r="AO13" s="58">
        <f>SUM(AA13:AL13)</f>
        <v/>
      </c>
      <c r="AP13" s="58">
        <f>SUM(AM13:AO13)</f>
        <v/>
      </c>
    </row>
    <row r="14">
      <c r="A14" s="6" t="inlineStr">
        <is>
          <t>Ítems vendidos</t>
        </is>
      </c>
      <c r="B14" s="24" t="inlineStr">
        <is>
          <t>ítems</t>
        </is>
      </c>
      <c r="C14" s="58">
        <f>C13*ItemsPerTicket</f>
        <v/>
      </c>
      <c r="D14" s="58">
        <f>D13*ItemsPerTicket</f>
        <v/>
      </c>
      <c r="E14" s="58">
        <f>E13*ItemsPerTicket</f>
        <v/>
      </c>
      <c r="F14" s="58">
        <f>F13*ItemsPerTicket</f>
        <v/>
      </c>
      <c r="G14" s="58">
        <f>G13*ItemsPerTicket</f>
        <v/>
      </c>
      <c r="H14" s="58">
        <f>H13*ItemsPerTicket</f>
        <v/>
      </c>
      <c r="I14" s="58">
        <f>I13*ItemsPerTicket</f>
        <v/>
      </c>
      <c r="J14" s="58">
        <f>J13*ItemsPerTicket</f>
        <v/>
      </c>
      <c r="K14" s="58">
        <f>K13*ItemsPerTicket</f>
        <v/>
      </c>
      <c r="L14" s="58">
        <f>L13*ItemsPerTicket</f>
        <v/>
      </c>
      <c r="M14" s="58">
        <f>M13*ItemsPerTicket</f>
        <v/>
      </c>
      <c r="N14" s="58">
        <f>N13*ItemsPerTicket</f>
        <v/>
      </c>
      <c r="O14" s="58">
        <f>O13*ItemsPerTicket</f>
        <v/>
      </c>
      <c r="P14" s="58">
        <f>P13*ItemsPerTicket</f>
        <v/>
      </c>
      <c r="Q14" s="58">
        <f>Q13*ItemsPerTicket</f>
        <v/>
      </c>
      <c r="R14" s="58">
        <f>R13*ItemsPerTicket</f>
        <v/>
      </c>
      <c r="S14" s="58">
        <f>S13*ItemsPerTicket</f>
        <v/>
      </c>
      <c r="T14" s="58">
        <f>T13*ItemsPerTicket</f>
        <v/>
      </c>
      <c r="U14" s="58">
        <f>U13*ItemsPerTicket</f>
        <v/>
      </c>
      <c r="V14" s="58">
        <f>V13*ItemsPerTicket</f>
        <v/>
      </c>
      <c r="W14" s="58">
        <f>W13*ItemsPerTicket</f>
        <v/>
      </c>
      <c r="X14" s="58">
        <f>X13*ItemsPerTicket</f>
        <v/>
      </c>
      <c r="Y14" s="58">
        <f>Y13*ItemsPerTicket</f>
        <v/>
      </c>
      <c r="Z14" s="58">
        <f>Z13*ItemsPerTicket</f>
        <v/>
      </c>
      <c r="AA14" s="58">
        <f>AA13*ItemsPerTicket</f>
        <v/>
      </c>
      <c r="AB14" s="58">
        <f>AB13*ItemsPerTicket</f>
        <v/>
      </c>
      <c r="AC14" s="58">
        <f>AC13*ItemsPerTicket</f>
        <v/>
      </c>
      <c r="AD14" s="58">
        <f>AD13*ItemsPerTicket</f>
        <v/>
      </c>
      <c r="AE14" s="58">
        <f>AE13*ItemsPerTicket</f>
        <v/>
      </c>
      <c r="AF14" s="58">
        <f>AF13*ItemsPerTicket</f>
        <v/>
      </c>
      <c r="AG14" s="58">
        <f>AG13*ItemsPerTicket</f>
        <v/>
      </c>
      <c r="AH14" s="58">
        <f>AH13*ItemsPerTicket</f>
        <v/>
      </c>
      <c r="AI14" s="58">
        <f>AI13*ItemsPerTicket</f>
        <v/>
      </c>
      <c r="AJ14" s="58">
        <f>AJ13*ItemsPerTicket</f>
        <v/>
      </c>
      <c r="AK14" s="58">
        <f>AK13*ItemsPerTicket</f>
        <v/>
      </c>
      <c r="AL14" s="58">
        <f>AL13*ItemsPerTicket</f>
        <v/>
      </c>
      <c r="AM14" s="58">
        <f>SUM(C14:N14)</f>
        <v/>
      </c>
      <c r="AN14" s="58">
        <f>SUM(O14:Z14)</f>
        <v/>
      </c>
      <c r="AO14" s="58">
        <f>SUM(AA14:AL14)</f>
        <v/>
      </c>
      <c r="AP14" s="58">
        <f>SUM(AM14:AO14)</f>
        <v/>
      </c>
    </row>
    <row r="15">
      <c r="A15" s="6" t="inlineStr">
        <is>
          <t>Ingresos netos</t>
        </is>
      </c>
      <c r="B15" s="24" t="inlineStr">
        <is>
          <t>€</t>
        </is>
      </c>
      <c r="C15" s="59">
        <f>C14*WeightedNetPrice*(1+INDEX(ScenarioMatrix,3,$B$3))^(1-1)</f>
        <v/>
      </c>
      <c r="D15" s="59">
        <f>D14*WeightedNetPrice*(1+INDEX(ScenarioMatrix,3,$B$3))^(1-1)</f>
        <v/>
      </c>
      <c r="E15" s="59">
        <f>E14*WeightedNetPrice*(1+INDEX(ScenarioMatrix,3,$B$3))^(1-1)</f>
        <v/>
      </c>
      <c r="F15" s="59">
        <f>F14*WeightedNetPrice*(1+INDEX(ScenarioMatrix,3,$B$3))^(1-1)</f>
        <v/>
      </c>
      <c r="G15" s="59">
        <f>G14*WeightedNetPrice*(1+INDEX(ScenarioMatrix,3,$B$3))^(1-1)</f>
        <v/>
      </c>
      <c r="H15" s="59">
        <f>H14*WeightedNetPrice*(1+INDEX(ScenarioMatrix,3,$B$3))^(1-1)</f>
        <v/>
      </c>
      <c r="I15" s="59">
        <f>I14*WeightedNetPrice*(1+INDEX(ScenarioMatrix,3,$B$3))^(1-1)</f>
        <v/>
      </c>
      <c r="J15" s="59">
        <f>J14*WeightedNetPrice*(1+INDEX(ScenarioMatrix,3,$B$3))^(1-1)</f>
        <v/>
      </c>
      <c r="K15" s="59">
        <f>K14*WeightedNetPrice*(1+INDEX(ScenarioMatrix,3,$B$3))^(1-1)</f>
        <v/>
      </c>
      <c r="L15" s="59">
        <f>L14*WeightedNetPrice*(1+INDEX(ScenarioMatrix,3,$B$3))^(1-1)</f>
        <v/>
      </c>
      <c r="M15" s="59">
        <f>M14*WeightedNetPrice*(1+INDEX(ScenarioMatrix,3,$B$3))^(1-1)</f>
        <v/>
      </c>
      <c r="N15" s="59">
        <f>N14*WeightedNetPrice*(1+INDEX(ScenarioMatrix,3,$B$3))^(1-1)</f>
        <v/>
      </c>
      <c r="O15" s="59">
        <f>O14*WeightedNetPrice*(1+INDEX(ScenarioMatrix,3,$B$3))^(2-1)</f>
        <v/>
      </c>
      <c r="P15" s="59">
        <f>P14*WeightedNetPrice*(1+INDEX(ScenarioMatrix,3,$B$3))^(2-1)</f>
        <v/>
      </c>
      <c r="Q15" s="59">
        <f>Q14*WeightedNetPrice*(1+INDEX(ScenarioMatrix,3,$B$3))^(2-1)</f>
        <v/>
      </c>
      <c r="R15" s="59">
        <f>R14*WeightedNetPrice*(1+INDEX(ScenarioMatrix,3,$B$3))^(2-1)</f>
        <v/>
      </c>
      <c r="S15" s="59">
        <f>S14*WeightedNetPrice*(1+INDEX(ScenarioMatrix,3,$B$3))^(2-1)</f>
        <v/>
      </c>
      <c r="T15" s="59">
        <f>T14*WeightedNetPrice*(1+INDEX(ScenarioMatrix,3,$B$3))^(2-1)</f>
        <v/>
      </c>
      <c r="U15" s="59">
        <f>U14*WeightedNetPrice*(1+INDEX(ScenarioMatrix,3,$B$3))^(2-1)</f>
        <v/>
      </c>
      <c r="V15" s="59">
        <f>V14*WeightedNetPrice*(1+INDEX(ScenarioMatrix,3,$B$3))^(2-1)</f>
        <v/>
      </c>
      <c r="W15" s="59">
        <f>W14*WeightedNetPrice*(1+INDEX(ScenarioMatrix,3,$B$3))^(2-1)</f>
        <v/>
      </c>
      <c r="X15" s="59">
        <f>X14*WeightedNetPrice*(1+INDEX(ScenarioMatrix,3,$B$3))^(2-1)</f>
        <v/>
      </c>
      <c r="Y15" s="59">
        <f>Y14*WeightedNetPrice*(1+INDEX(ScenarioMatrix,3,$B$3))^(2-1)</f>
        <v/>
      </c>
      <c r="Z15" s="59">
        <f>Z14*WeightedNetPrice*(1+INDEX(ScenarioMatrix,3,$B$3))^(2-1)</f>
        <v/>
      </c>
      <c r="AA15" s="59">
        <f>AA14*WeightedNetPrice*(1+INDEX(ScenarioMatrix,3,$B$3))^(3-1)</f>
        <v/>
      </c>
      <c r="AB15" s="59">
        <f>AB14*WeightedNetPrice*(1+INDEX(ScenarioMatrix,3,$B$3))^(3-1)</f>
        <v/>
      </c>
      <c r="AC15" s="59">
        <f>AC14*WeightedNetPrice*(1+INDEX(ScenarioMatrix,3,$B$3))^(3-1)</f>
        <v/>
      </c>
      <c r="AD15" s="59">
        <f>AD14*WeightedNetPrice*(1+INDEX(ScenarioMatrix,3,$B$3))^(3-1)</f>
        <v/>
      </c>
      <c r="AE15" s="59">
        <f>AE14*WeightedNetPrice*(1+INDEX(ScenarioMatrix,3,$B$3))^(3-1)</f>
        <v/>
      </c>
      <c r="AF15" s="59">
        <f>AF14*WeightedNetPrice*(1+INDEX(ScenarioMatrix,3,$B$3))^(3-1)</f>
        <v/>
      </c>
      <c r="AG15" s="59">
        <f>AG14*WeightedNetPrice*(1+INDEX(ScenarioMatrix,3,$B$3))^(3-1)</f>
        <v/>
      </c>
      <c r="AH15" s="59">
        <f>AH14*WeightedNetPrice*(1+INDEX(ScenarioMatrix,3,$B$3))^(3-1)</f>
        <v/>
      </c>
      <c r="AI15" s="59">
        <f>AI14*WeightedNetPrice*(1+INDEX(ScenarioMatrix,3,$B$3))^(3-1)</f>
        <v/>
      </c>
      <c r="AJ15" s="59">
        <f>AJ14*WeightedNetPrice*(1+INDEX(ScenarioMatrix,3,$B$3))^(3-1)</f>
        <v/>
      </c>
      <c r="AK15" s="59">
        <f>AK14*WeightedNetPrice*(1+INDEX(ScenarioMatrix,3,$B$3))^(3-1)</f>
        <v/>
      </c>
      <c r="AL15" s="59">
        <f>AL14*WeightedNetPrice*(1+INDEX(ScenarioMatrix,3,$B$3))^(3-1)</f>
        <v/>
      </c>
      <c r="AM15" s="59">
        <f>SUM(C15:N15)</f>
        <v/>
      </c>
      <c r="AN15" s="59">
        <f>SUM(O15:Z15)</f>
        <v/>
      </c>
      <c r="AO15" s="59">
        <f>SUM(AA15:AL15)</f>
        <v/>
      </c>
      <c r="AP15" s="59">
        <f>SUM(AM15:AO15)</f>
        <v/>
      </c>
    </row>
    <row r="16">
      <c r="A16" s="6" t="inlineStr">
        <is>
          <t>COGS</t>
        </is>
      </c>
      <c r="B16" s="24" t="inlineStr">
        <is>
          <t>€</t>
        </is>
      </c>
      <c r="C16" s="60">
        <f>C14*WeightedCostAdj*(1+INDEX(ScenarioMatrix,4,$B$3))^(1-1)</f>
        <v/>
      </c>
      <c r="D16" s="60">
        <f>D14*WeightedCostAdj*(1+INDEX(ScenarioMatrix,4,$B$3))^(1-1)</f>
        <v/>
      </c>
      <c r="E16" s="60">
        <f>E14*WeightedCostAdj*(1+INDEX(ScenarioMatrix,4,$B$3))^(1-1)</f>
        <v/>
      </c>
      <c r="F16" s="60">
        <f>F14*WeightedCostAdj*(1+INDEX(ScenarioMatrix,4,$B$3))^(1-1)</f>
        <v/>
      </c>
      <c r="G16" s="60">
        <f>G14*WeightedCostAdj*(1+INDEX(ScenarioMatrix,4,$B$3))^(1-1)</f>
        <v/>
      </c>
      <c r="H16" s="60">
        <f>H14*WeightedCostAdj*(1+INDEX(ScenarioMatrix,4,$B$3))^(1-1)</f>
        <v/>
      </c>
      <c r="I16" s="60">
        <f>I14*WeightedCostAdj*(1+INDEX(ScenarioMatrix,4,$B$3))^(1-1)</f>
        <v/>
      </c>
      <c r="J16" s="60">
        <f>J14*WeightedCostAdj*(1+INDEX(ScenarioMatrix,4,$B$3))^(1-1)</f>
        <v/>
      </c>
      <c r="K16" s="60">
        <f>K14*WeightedCostAdj*(1+INDEX(ScenarioMatrix,4,$B$3))^(1-1)</f>
        <v/>
      </c>
      <c r="L16" s="60">
        <f>L14*WeightedCostAdj*(1+INDEX(ScenarioMatrix,4,$B$3))^(1-1)</f>
        <v/>
      </c>
      <c r="M16" s="60">
        <f>M14*WeightedCostAdj*(1+INDEX(ScenarioMatrix,4,$B$3))^(1-1)</f>
        <v/>
      </c>
      <c r="N16" s="60">
        <f>N14*WeightedCostAdj*(1+INDEX(ScenarioMatrix,4,$B$3))^(1-1)</f>
        <v/>
      </c>
      <c r="O16" s="60">
        <f>O14*WeightedCostAdj*(1+INDEX(ScenarioMatrix,4,$B$3))^(2-1)</f>
        <v/>
      </c>
      <c r="P16" s="60">
        <f>P14*WeightedCostAdj*(1+INDEX(ScenarioMatrix,4,$B$3))^(2-1)</f>
        <v/>
      </c>
      <c r="Q16" s="60">
        <f>Q14*WeightedCostAdj*(1+INDEX(ScenarioMatrix,4,$B$3))^(2-1)</f>
        <v/>
      </c>
      <c r="R16" s="60">
        <f>R14*WeightedCostAdj*(1+INDEX(ScenarioMatrix,4,$B$3))^(2-1)</f>
        <v/>
      </c>
      <c r="S16" s="60">
        <f>S14*WeightedCostAdj*(1+INDEX(ScenarioMatrix,4,$B$3))^(2-1)</f>
        <v/>
      </c>
      <c r="T16" s="60">
        <f>T14*WeightedCostAdj*(1+INDEX(ScenarioMatrix,4,$B$3))^(2-1)</f>
        <v/>
      </c>
      <c r="U16" s="60">
        <f>U14*WeightedCostAdj*(1+INDEX(ScenarioMatrix,4,$B$3))^(2-1)</f>
        <v/>
      </c>
      <c r="V16" s="60">
        <f>V14*WeightedCostAdj*(1+INDEX(ScenarioMatrix,4,$B$3))^(2-1)</f>
        <v/>
      </c>
      <c r="W16" s="60">
        <f>W14*WeightedCostAdj*(1+INDEX(ScenarioMatrix,4,$B$3))^(2-1)</f>
        <v/>
      </c>
      <c r="X16" s="60">
        <f>X14*WeightedCostAdj*(1+INDEX(ScenarioMatrix,4,$B$3))^(2-1)</f>
        <v/>
      </c>
      <c r="Y16" s="60">
        <f>Y14*WeightedCostAdj*(1+INDEX(ScenarioMatrix,4,$B$3))^(2-1)</f>
        <v/>
      </c>
      <c r="Z16" s="60">
        <f>Z14*WeightedCostAdj*(1+INDEX(ScenarioMatrix,4,$B$3))^(2-1)</f>
        <v/>
      </c>
      <c r="AA16" s="60">
        <f>AA14*WeightedCostAdj*(1+INDEX(ScenarioMatrix,4,$B$3))^(3-1)</f>
        <v/>
      </c>
      <c r="AB16" s="60">
        <f>AB14*WeightedCostAdj*(1+INDEX(ScenarioMatrix,4,$B$3))^(3-1)</f>
        <v/>
      </c>
      <c r="AC16" s="60">
        <f>AC14*WeightedCostAdj*(1+INDEX(ScenarioMatrix,4,$B$3))^(3-1)</f>
        <v/>
      </c>
      <c r="AD16" s="60">
        <f>AD14*WeightedCostAdj*(1+INDEX(ScenarioMatrix,4,$B$3))^(3-1)</f>
        <v/>
      </c>
      <c r="AE16" s="60">
        <f>AE14*WeightedCostAdj*(1+INDEX(ScenarioMatrix,4,$B$3))^(3-1)</f>
        <v/>
      </c>
      <c r="AF16" s="60">
        <f>AF14*WeightedCostAdj*(1+INDEX(ScenarioMatrix,4,$B$3))^(3-1)</f>
        <v/>
      </c>
      <c r="AG16" s="60">
        <f>AG14*WeightedCostAdj*(1+INDEX(ScenarioMatrix,4,$B$3))^(3-1)</f>
        <v/>
      </c>
      <c r="AH16" s="60">
        <f>AH14*WeightedCostAdj*(1+INDEX(ScenarioMatrix,4,$B$3))^(3-1)</f>
        <v/>
      </c>
      <c r="AI16" s="60">
        <f>AI14*WeightedCostAdj*(1+INDEX(ScenarioMatrix,4,$B$3))^(3-1)</f>
        <v/>
      </c>
      <c r="AJ16" s="60">
        <f>AJ14*WeightedCostAdj*(1+INDEX(ScenarioMatrix,4,$B$3))^(3-1)</f>
        <v/>
      </c>
      <c r="AK16" s="60">
        <f>AK14*WeightedCostAdj*(1+INDEX(ScenarioMatrix,4,$B$3))^(3-1)</f>
        <v/>
      </c>
      <c r="AL16" s="60">
        <f>AL14*WeightedCostAdj*(1+INDEX(ScenarioMatrix,4,$B$3))^(3-1)</f>
        <v/>
      </c>
      <c r="AM16" s="60">
        <f>SUM(C16:N16)</f>
        <v/>
      </c>
      <c r="AN16" s="60">
        <f>SUM(O16:Z16)</f>
        <v/>
      </c>
      <c r="AO16" s="60">
        <f>SUM(AA16:AL16)</f>
        <v/>
      </c>
      <c r="AP16" s="60">
        <f>SUM(AM16:AO16)</f>
        <v/>
      </c>
    </row>
    <row r="17">
      <c r="A17" s="6" t="inlineStr">
        <is>
          <t>Margen bruto</t>
        </is>
      </c>
      <c r="B17" s="24" t="inlineStr">
        <is>
          <t>€</t>
        </is>
      </c>
      <c r="C17" s="59">
        <f>C15-C16</f>
        <v/>
      </c>
      <c r="D17" s="59">
        <f>D15-D16</f>
        <v/>
      </c>
      <c r="E17" s="59">
        <f>E15-E16</f>
        <v/>
      </c>
      <c r="F17" s="59">
        <f>F15-F16</f>
        <v/>
      </c>
      <c r="G17" s="59">
        <f>G15-G16</f>
        <v/>
      </c>
      <c r="H17" s="59">
        <f>H15-H16</f>
        <v/>
      </c>
      <c r="I17" s="59">
        <f>I15-I16</f>
        <v/>
      </c>
      <c r="J17" s="59">
        <f>J15-J16</f>
        <v/>
      </c>
      <c r="K17" s="59">
        <f>K15-K16</f>
        <v/>
      </c>
      <c r="L17" s="59">
        <f>L15-L16</f>
        <v/>
      </c>
      <c r="M17" s="59">
        <f>M15-M16</f>
        <v/>
      </c>
      <c r="N17" s="59">
        <f>N15-N16</f>
        <v/>
      </c>
      <c r="O17" s="59">
        <f>O15-O16</f>
        <v/>
      </c>
      <c r="P17" s="59">
        <f>P15-P16</f>
        <v/>
      </c>
      <c r="Q17" s="59">
        <f>Q15-Q16</f>
        <v/>
      </c>
      <c r="R17" s="59">
        <f>R15-R16</f>
        <v/>
      </c>
      <c r="S17" s="59">
        <f>S15-S16</f>
        <v/>
      </c>
      <c r="T17" s="59">
        <f>T15-T16</f>
        <v/>
      </c>
      <c r="U17" s="59">
        <f>U15-U16</f>
        <v/>
      </c>
      <c r="V17" s="59">
        <f>V15-V16</f>
        <v/>
      </c>
      <c r="W17" s="59">
        <f>W15-W16</f>
        <v/>
      </c>
      <c r="X17" s="59">
        <f>X15-X16</f>
        <v/>
      </c>
      <c r="Y17" s="59">
        <f>Y15-Y16</f>
        <v/>
      </c>
      <c r="Z17" s="59">
        <f>Z15-Z16</f>
        <v/>
      </c>
      <c r="AA17" s="59">
        <f>AA15-AA16</f>
        <v/>
      </c>
      <c r="AB17" s="59">
        <f>AB15-AB16</f>
        <v/>
      </c>
      <c r="AC17" s="59">
        <f>AC15-AC16</f>
        <v/>
      </c>
      <c r="AD17" s="59">
        <f>AD15-AD16</f>
        <v/>
      </c>
      <c r="AE17" s="59">
        <f>AE15-AE16</f>
        <v/>
      </c>
      <c r="AF17" s="59">
        <f>AF15-AF16</f>
        <v/>
      </c>
      <c r="AG17" s="59">
        <f>AG15-AG16</f>
        <v/>
      </c>
      <c r="AH17" s="59">
        <f>AH15-AH16</f>
        <v/>
      </c>
      <c r="AI17" s="59">
        <f>AI15-AI16</f>
        <v/>
      </c>
      <c r="AJ17" s="59">
        <f>AJ15-AJ16</f>
        <v/>
      </c>
      <c r="AK17" s="59">
        <f>AK15-AK16</f>
        <v/>
      </c>
      <c r="AL17" s="59">
        <f>AL15-AL16</f>
        <v/>
      </c>
      <c r="AM17" s="59">
        <f>SUM(C17:N17)</f>
        <v/>
      </c>
      <c r="AN17" s="59">
        <f>SUM(O17:Z17)</f>
        <v/>
      </c>
      <c r="AO17" s="59">
        <f>SUM(AA17:AL17)</f>
        <v/>
      </c>
      <c r="AP17" s="59">
        <f>SUM(AM17:AO17)</f>
        <v/>
      </c>
    </row>
    <row r="18">
      <c r="A18" s="6" t="inlineStr">
        <is>
          <t>Personal</t>
        </is>
      </c>
      <c r="B18" s="24" t="inlineStr">
        <is>
          <t>€</t>
        </is>
      </c>
      <c r="C18" s="60">
        <f>INDEX(StaffCostByYear,1,C7)*INDEX(ScenarioMatrix,5,$B$3)/12</f>
        <v/>
      </c>
      <c r="D18" s="60">
        <f>INDEX(StaffCostByYear,1,D7)*INDEX(ScenarioMatrix,5,$B$3)/12</f>
        <v/>
      </c>
      <c r="E18" s="60">
        <f>INDEX(StaffCostByYear,1,E7)*INDEX(ScenarioMatrix,5,$B$3)/12</f>
        <v/>
      </c>
      <c r="F18" s="60">
        <f>INDEX(StaffCostByYear,1,F7)*INDEX(ScenarioMatrix,5,$B$3)/12</f>
        <v/>
      </c>
      <c r="G18" s="60">
        <f>INDEX(StaffCostByYear,1,G7)*INDEX(ScenarioMatrix,5,$B$3)/12</f>
        <v/>
      </c>
      <c r="H18" s="60">
        <f>INDEX(StaffCostByYear,1,H7)*INDEX(ScenarioMatrix,5,$B$3)/12</f>
        <v/>
      </c>
      <c r="I18" s="60">
        <f>INDEX(StaffCostByYear,1,I7)*INDEX(ScenarioMatrix,5,$B$3)/12</f>
        <v/>
      </c>
      <c r="J18" s="60">
        <f>INDEX(StaffCostByYear,1,J7)*INDEX(ScenarioMatrix,5,$B$3)/12</f>
        <v/>
      </c>
      <c r="K18" s="60">
        <f>INDEX(StaffCostByYear,1,K7)*INDEX(ScenarioMatrix,5,$B$3)/12</f>
        <v/>
      </c>
      <c r="L18" s="60">
        <f>INDEX(StaffCostByYear,1,L7)*INDEX(ScenarioMatrix,5,$B$3)/12</f>
        <v/>
      </c>
      <c r="M18" s="60">
        <f>INDEX(StaffCostByYear,1,M7)*INDEX(ScenarioMatrix,5,$B$3)/12</f>
        <v/>
      </c>
      <c r="N18" s="60">
        <f>INDEX(StaffCostByYear,1,N7)*INDEX(ScenarioMatrix,5,$B$3)/12</f>
        <v/>
      </c>
      <c r="O18" s="60">
        <f>INDEX(StaffCostByYear,1,O7)*INDEX(ScenarioMatrix,5,$B$3)/12</f>
        <v/>
      </c>
      <c r="P18" s="60">
        <f>INDEX(StaffCostByYear,1,P7)*INDEX(ScenarioMatrix,5,$B$3)/12</f>
        <v/>
      </c>
      <c r="Q18" s="60">
        <f>INDEX(StaffCostByYear,1,Q7)*INDEX(ScenarioMatrix,5,$B$3)/12</f>
        <v/>
      </c>
      <c r="R18" s="60">
        <f>INDEX(StaffCostByYear,1,R7)*INDEX(ScenarioMatrix,5,$B$3)/12</f>
        <v/>
      </c>
      <c r="S18" s="60">
        <f>INDEX(StaffCostByYear,1,S7)*INDEX(ScenarioMatrix,5,$B$3)/12</f>
        <v/>
      </c>
      <c r="T18" s="60">
        <f>INDEX(StaffCostByYear,1,T7)*INDEX(ScenarioMatrix,5,$B$3)/12</f>
        <v/>
      </c>
      <c r="U18" s="60">
        <f>INDEX(StaffCostByYear,1,U7)*INDEX(ScenarioMatrix,5,$B$3)/12</f>
        <v/>
      </c>
      <c r="V18" s="60">
        <f>INDEX(StaffCostByYear,1,V7)*INDEX(ScenarioMatrix,5,$B$3)/12</f>
        <v/>
      </c>
      <c r="W18" s="60">
        <f>INDEX(StaffCostByYear,1,W7)*INDEX(ScenarioMatrix,5,$B$3)/12</f>
        <v/>
      </c>
      <c r="X18" s="60">
        <f>INDEX(StaffCostByYear,1,X7)*INDEX(ScenarioMatrix,5,$B$3)/12</f>
        <v/>
      </c>
      <c r="Y18" s="60">
        <f>INDEX(StaffCostByYear,1,Y7)*INDEX(ScenarioMatrix,5,$B$3)/12</f>
        <v/>
      </c>
      <c r="Z18" s="60">
        <f>INDEX(StaffCostByYear,1,Z7)*INDEX(ScenarioMatrix,5,$B$3)/12</f>
        <v/>
      </c>
      <c r="AA18" s="60">
        <f>INDEX(StaffCostByYear,1,AA7)*INDEX(ScenarioMatrix,5,$B$3)/12</f>
        <v/>
      </c>
      <c r="AB18" s="60">
        <f>INDEX(StaffCostByYear,1,AB7)*INDEX(ScenarioMatrix,5,$B$3)/12</f>
        <v/>
      </c>
      <c r="AC18" s="60">
        <f>INDEX(StaffCostByYear,1,AC7)*INDEX(ScenarioMatrix,5,$B$3)/12</f>
        <v/>
      </c>
      <c r="AD18" s="60">
        <f>INDEX(StaffCostByYear,1,AD7)*INDEX(ScenarioMatrix,5,$B$3)/12</f>
        <v/>
      </c>
      <c r="AE18" s="60">
        <f>INDEX(StaffCostByYear,1,AE7)*INDEX(ScenarioMatrix,5,$B$3)/12</f>
        <v/>
      </c>
      <c r="AF18" s="60">
        <f>INDEX(StaffCostByYear,1,AF7)*INDEX(ScenarioMatrix,5,$B$3)/12</f>
        <v/>
      </c>
      <c r="AG18" s="60">
        <f>INDEX(StaffCostByYear,1,AG7)*INDEX(ScenarioMatrix,5,$B$3)/12</f>
        <v/>
      </c>
      <c r="AH18" s="60">
        <f>INDEX(StaffCostByYear,1,AH7)*INDEX(ScenarioMatrix,5,$B$3)/12</f>
        <v/>
      </c>
      <c r="AI18" s="60">
        <f>INDEX(StaffCostByYear,1,AI7)*INDEX(ScenarioMatrix,5,$B$3)/12</f>
        <v/>
      </c>
      <c r="AJ18" s="60">
        <f>INDEX(StaffCostByYear,1,AJ7)*INDEX(ScenarioMatrix,5,$B$3)/12</f>
        <v/>
      </c>
      <c r="AK18" s="60">
        <f>INDEX(StaffCostByYear,1,AK7)*INDEX(ScenarioMatrix,5,$B$3)/12</f>
        <v/>
      </c>
      <c r="AL18" s="60">
        <f>INDEX(StaffCostByYear,1,AL7)*INDEX(ScenarioMatrix,5,$B$3)/12</f>
        <v/>
      </c>
      <c r="AM18" s="60">
        <f>SUM(C18:N18)</f>
        <v/>
      </c>
      <c r="AN18" s="60">
        <f>SUM(O18:Z18)</f>
        <v/>
      </c>
      <c r="AO18" s="60">
        <f>SUM(AA18:AL18)</f>
        <v/>
      </c>
      <c r="AP18" s="60">
        <f>SUM(AM18:AO18)</f>
        <v/>
      </c>
    </row>
    <row r="19">
      <c r="A19" s="6" t="inlineStr">
        <is>
          <t>Alquiler</t>
        </is>
      </c>
      <c r="B19" s="24" t="inlineStr">
        <is>
          <t>€</t>
        </is>
      </c>
      <c r="C19" s="60">
        <f>RentMonth*INDEX(ScenarioMatrix,6,$B$3)*(1+RentGrowth)^(C7-1)</f>
        <v/>
      </c>
      <c r="D19" s="60">
        <f>RentMonth*INDEX(ScenarioMatrix,6,$B$3)*(1+RentGrowth)^(D7-1)</f>
        <v/>
      </c>
      <c r="E19" s="60">
        <f>RentMonth*INDEX(ScenarioMatrix,6,$B$3)*(1+RentGrowth)^(E7-1)</f>
        <v/>
      </c>
      <c r="F19" s="60">
        <f>RentMonth*INDEX(ScenarioMatrix,6,$B$3)*(1+RentGrowth)^(F7-1)</f>
        <v/>
      </c>
      <c r="G19" s="60">
        <f>RentMonth*INDEX(ScenarioMatrix,6,$B$3)*(1+RentGrowth)^(G7-1)</f>
        <v/>
      </c>
      <c r="H19" s="60">
        <f>RentMonth*INDEX(ScenarioMatrix,6,$B$3)*(1+RentGrowth)^(H7-1)</f>
        <v/>
      </c>
      <c r="I19" s="60">
        <f>RentMonth*INDEX(ScenarioMatrix,6,$B$3)*(1+RentGrowth)^(I7-1)</f>
        <v/>
      </c>
      <c r="J19" s="60">
        <f>RentMonth*INDEX(ScenarioMatrix,6,$B$3)*(1+RentGrowth)^(J7-1)</f>
        <v/>
      </c>
      <c r="K19" s="60">
        <f>RentMonth*INDEX(ScenarioMatrix,6,$B$3)*(1+RentGrowth)^(K7-1)</f>
        <v/>
      </c>
      <c r="L19" s="60">
        <f>RentMonth*INDEX(ScenarioMatrix,6,$B$3)*(1+RentGrowth)^(L7-1)</f>
        <v/>
      </c>
      <c r="M19" s="60">
        <f>RentMonth*INDEX(ScenarioMatrix,6,$B$3)*(1+RentGrowth)^(M7-1)</f>
        <v/>
      </c>
      <c r="N19" s="60">
        <f>RentMonth*INDEX(ScenarioMatrix,6,$B$3)*(1+RentGrowth)^(N7-1)</f>
        <v/>
      </c>
      <c r="O19" s="60">
        <f>RentMonth*INDEX(ScenarioMatrix,6,$B$3)*(1+RentGrowth)^(O7-1)</f>
        <v/>
      </c>
      <c r="P19" s="60">
        <f>RentMonth*INDEX(ScenarioMatrix,6,$B$3)*(1+RentGrowth)^(P7-1)</f>
        <v/>
      </c>
      <c r="Q19" s="60">
        <f>RentMonth*INDEX(ScenarioMatrix,6,$B$3)*(1+RentGrowth)^(Q7-1)</f>
        <v/>
      </c>
      <c r="R19" s="60">
        <f>RentMonth*INDEX(ScenarioMatrix,6,$B$3)*(1+RentGrowth)^(R7-1)</f>
        <v/>
      </c>
      <c r="S19" s="60">
        <f>RentMonth*INDEX(ScenarioMatrix,6,$B$3)*(1+RentGrowth)^(S7-1)</f>
        <v/>
      </c>
      <c r="T19" s="60">
        <f>RentMonth*INDEX(ScenarioMatrix,6,$B$3)*(1+RentGrowth)^(T7-1)</f>
        <v/>
      </c>
      <c r="U19" s="60">
        <f>RentMonth*INDEX(ScenarioMatrix,6,$B$3)*(1+RentGrowth)^(U7-1)</f>
        <v/>
      </c>
      <c r="V19" s="60">
        <f>RentMonth*INDEX(ScenarioMatrix,6,$B$3)*(1+RentGrowth)^(V7-1)</f>
        <v/>
      </c>
      <c r="W19" s="60">
        <f>RentMonth*INDEX(ScenarioMatrix,6,$B$3)*(1+RentGrowth)^(W7-1)</f>
        <v/>
      </c>
      <c r="X19" s="60">
        <f>RentMonth*INDEX(ScenarioMatrix,6,$B$3)*(1+RentGrowth)^(X7-1)</f>
        <v/>
      </c>
      <c r="Y19" s="60">
        <f>RentMonth*INDEX(ScenarioMatrix,6,$B$3)*(1+RentGrowth)^(Y7-1)</f>
        <v/>
      </c>
      <c r="Z19" s="60">
        <f>RentMonth*INDEX(ScenarioMatrix,6,$B$3)*(1+RentGrowth)^(Z7-1)</f>
        <v/>
      </c>
      <c r="AA19" s="60">
        <f>RentMonth*INDEX(ScenarioMatrix,6,$B$3)*(1+RentGrowth)^(AA7-1)</f>
        <v/>
      </c>
      <c r="AB19" s="60">
        <f>RentMonth*INDEX(ScenarioMatrix,6,$B$3)*(1+RentGrowth)^(AB7-1)</f>
        <v/>
      </c>
      <c r="AC19" s="60">
        <f>RentMonth*INDEX(ScenarioMatrix,6,$B$3)*(1+RentGrowth)^(AC7-1)</f>
        <v/>
      </c>
      <c r="AD19" s="60">
        <f>RentMonth*INDEX(ScenarioMatrix,6,$B$3)*(1+RentGrowth)^(AD7-1)</f>
        <v/>
      </c>
      <c r="AE19" s="60">
        <f>RentMonth*INDEX(ScenarioMatrix,6,$B$3)*(1+RentGrowth)^(AE7-1)</f>
        <v/>
      </c>
      <c r="AF19" s="60">
        <f>RentMonth*INDEX(ScenarioMatrix,6,$B$3)*(1+RentGrowth)^(AF7-1)</f>
        <v/>
      </c>
      <c r="AG19" s="60">
        <f>RentMonth*INDEX(ScenarioMatrix,6,$B$3)*(1+RentGrowth)^(AG7-1)</f>
        <v/>
      </c>
      <c r="AH19" s="60">
        <f>RentMonth*INDEX(ScenarioMatrix,6,$B$3)*(1+RentGrowth)^(AH7-1)</f>
        <v/>
      </c>
      <c r="AI19" s="60">
        <f>RentMonth*INDEX(ScenarioMatrix,6,$B$3)*(1+RentGrowth)^(AI7-1)</f>
        <v/>
      </c>
      <c r="AJ19" s="60">
        <f>RentMonth*INDEX(ScenarioMatrix,6,$B$3)*(1+RentGrowth)^(AJ7-1)</f>
        <v/>
      </c>
      <c r="AK19" s="60">
        <f>RentMonth*INDEX(ScenarioMatrix,6,$B$3)*(1+RentGrowth)^(AK7-1)</f>
        <v/>
      </c>
      <c r="AL19" s="60">
        <f>RentMonth*INDEX(ScenarioMatrix,6,$B$3)*(1+RentGrowth)^(AL7-1)</f>
        <v/>
      </c>
      <c r="AM19" s="60">
        <f>SUM(C19:N19)</f>
        <v/>
      </c>
      <c r="AN19" s="60">
        <f>SUM(O19:Z19)</f>
        <v/>
      </c>
      <c r="AO19" s="60">
        <f>SUM(AA19:AL19)</f>
        <v/>
      </c>
      <c r="AP19" s="60">
        <f>SUM(AM19:AO19)</f>
        <v/>
      </c>
    </row>
    <row r="20">
      <c r="A20" s="6" t="inlineStr">
        <is>
          <t>Suministros</t>
        </is>
      </c>
      <c r="B20" s="24" t="inlineStr">
        <is>
          <t>€</t>
        </is>
      </c>
      <c r="C20" s="60">
        <f>UtilitiesMonth*(1+INDEX(ScenarioMatrix,7,$B$3))^(C7-1)</f>
        <v/>
      </c>
      <c r="D20" s="60">
        <f>UtilitiesMonth*(1+INDEX(ScenarioMatrix,7,$B$3))^(D7-1)</f>
        <v/>
      </c>
      <c r="E20" s="60">
        <f>UtilitiesMonth*(1+INDEX(ScenarioMatrix,7,$B$3))^(E7-1)</f>
        <v/>
      </c>
      <c r="F20" s="60">
        <f>UtilitiesMonth*(1+INDEX(ScenarioMatrix,7,$B$3))^(F7-1)</f>
        <v/>
      </c>
      <c r="G20" s="60">
        <f>UtilitiesMonth*(1+INDEX(ScenarioMatrix,7,$B$3))^(G7-1)</f>
        <v/>
      </c>
      <c r="H20" s="60">
        <f>UtilitiesMonth*(1+INDEX(ScenarioMatrix,7,$B$3))^(H7-1)</f>
        <v/>
      </c>
      <c r="I20" s="60">
        <f>UtilitiesMonth*(1+INDEX(ScenarioMatrix,7,$B$3))^(I7-1)</f>
        <v/>
      </c>
      <c r="J20" s="60">
        <f>UtilitiesMonth*(1+INDEX(ScenarioMatrix,7,$B$3))^(J7-1)</f>
        <v/>
      </c>
      <c r="K20" s="60">
        <f>UtilitiesMonth*(1+INDEX(ScenarioMatrix,7,$B$3))^(K7-1)</f>
        <v/>
      </c>
      <c r="L20" s="60">
        <f>UtilitiesMonth*(1+INDEX(ScenarioMatrix,7,$B$3))^(L7-1)</f>
        <v/>
      </c>
      <c r="M20" s="60">
        <f>UtilitiesMonth*(1+INDEX(ScenarioMatrix,7,$B$3))^(M7-1)</f>
        <v/>
      </c>
      <c r="N20" s="60">
        <f>UtilitiesMonth*(1+INDEX(ScenarioMatrix,7,$B$3))^(N7-1)</f>
        <v/>
      </c>
      <c r="O20" s="60">
        <f>UtilitiesMonth*(1+INDEX(ScenarioMatrix,7,$B$3))^(O7-1)</f>
        <v/>
      </c>
      <c r="P20" s="60">
        <f>UtilitiesMonth*(1+INDEX(ScenarioMatrix,7,$B$3))^(P7-1)</f>
        <v/>
      </c>
      <c r="Q20" s="60">
        <f>UtilitiesMonth*(1+INDEX(ScenarioMatrix,7,$B$3))^(Q7-1)</f>
        <v/>
      </c>
      <c r="R20" s="60">
        <f>UtilitiesMonth*(1+INDEX(ScenarioMatrix,7,$B$3))^(R7-1)</f>
        <v/>
      </c>
      <c r="S20" s="60">
        <f>UtilitiesMonth*(1+INDEX(ScenarioMatrix,7,$B$3))^(S7-1)</f>
        <v/>
      </c>
      <c r="T20" s="60">
        <f>UtilitiesMonth*(1+INDEX(ScenarioMatrix,7,$B$3))^(T7-1)</f>
        <v/>
      </c>
      <c r="U20" s="60">
        <f>UtilitiesMonth*(1+INDEX(ScenarioMatrix,7,$B$3))^(U7-1)</f>
        <v/>
      </c>
      <c r="V20" s="60">
        <f>UtilitiesMonth*(1+INDEX(ScenarioMatrix,7,$B$3))^(V7-1)</f>
        <v/>
      </c>
      <c r="W20" s="60">
        <f>UtilitiesMonth*(1+INDEX(ScenarioMatrix,7,$B$3))^(W7-1)</f>
        <v/>
      </c>
      <c r="X20" s="60">
        <f>UtilitiesMonth*(1+INDEX(ScenarioMatrix,7,$B$3))^(X7-1)</f>
        <v/>
      </c>
      <c r="Y20" s="60">
        <f>UtilitiesMonth*(1+INDEX(ScenarioMatrix,7,$B$3))^(Y7-1)</f>
        <v/>
      </c>
      <c r="Z20" s="60">
        <f>UtilitiesMonth*(1+INDEX(ScenarioMatrix,7,$B$3))^(Z7-1)</f>
        <v/>
      </c>
      <c r="AA20" s="60">
        <f>UtilitiesMonth*(1+INDEX(ScenarioMatrix,7,$B$3))^(AA7-1)</f>
        <v/>
      </c>
      <c r="AB20" s="60">
        <f>UtilitiesMonth*(1+INDEX(ScenarioMatrix,7,$B$3))^(AB7-1)</f>
        <v/>
      </c>
      <c r="AC20" s="60">
        <f>UtilitiesMonth*(1+INDEX(ScenarioMatrix,7,$B$3))^(AC7-1)</f>
        <v/>
      </c>
      <c r="AD20" s="60">
        <f>UtilitiesMonth*(1+INDEX(ScenarioMatrix,7,$B$3))^(AD7-1)</f>
        <v/>
      </c>
      <c r="AE20" s="60">
        <f>UtilitiesMonth*(1+INDEX(ScenarioMatrix,7,$B$3))^(AE7-1)</f>
        <v/>
      </c>
      <c r="AF20" s="60">
        <f>UtilitiesMonth*(1+INDEX(ScenarioMatrix,7,$B$3))^(AF7-1)</f>
        <v/>
      </c>
      <c r="AG20" s="60">
        <f>UtilitiesMonth*(1+INDEX(ScenarioMatrix,7,$B$3))^(AG7-1)</f>
        <v/>
      </c>
      <c r="AH20" s="60">
        <f>UtilitiesMonth*(1+INDEX(ScenarioMatrix,7,$B$3))^(AH7-1)</f>
        <v/>
      </c>
      <c r="AI20" s="60">
        <f>UtilitiesMonth*(1+INDEX(ScenarioMatrix,7,$B$3))^(AI7-1)</f>
        <v/>
      </c>
      <c r="AJ20" s="60">
        <f>UtilitiesMonth*(1+INDEX(ScenarioMatrix,7,$B$3))^(AJ7-1)</f>
        <v/>
      </c>
      <c r="AK20" s="60">
        <f>UtilitiesMonth*(1+INDEX(ScenarioMatrix,7,$B$3))^(AK7-1)</f>
        <v/>
      </c>
      <c r="AL20" s="60">
        <f>UtilitiesMonth*(1+INDEX(ScenarioMatrix,7,$B$3))^(AL7-1)</f>
        <v/>
      </c>
      <c r="AM20" s="60">
        <f>SUM(C20:N20)</f>
        <v/>
      </c>
      <c r="AN20" s="60">
        <f>SUM(O20:Z20)</f>
        <v/>
      </c>
      <c r="AO20" s="60">
        <f>SUM(AA20:AL20)</f>
        <v/>
      </c>
      <c r="AP20" s="60">
        <f>SUM(AM20:AO20)</f>
        <v/>
      </c>
    </row>
    <row r="21">
      <c r="A21" s="6" t="inlineStr">
        <is>
          <t>Servicios fijos</t>
        </is>
      </c>
      <c r="B21" s="24" t="inlineStr">
        <is>
          <t>€</t>
        </is>
      </c>
      <c r="C21" s="60">
        <f>FixedServicesMonth*(1+INDEX(ScenarioMatrix,7,$B$3))^(C7-1)</f>
        <v/>
      </c>
      <c r="D21" s="60">
        <f>FixedServicesMonth*(1+INDEX(ScenarioMatrix,7,$B$3))^(D7-1)</f>
        <v/>
      </c>
      <c r="E21" s="60">
        <f>FixedServicesMonth*(1+INDEX(ScenarioMatrix,7,$B$3))^(E7-1)</f>
        <v/>
      </c>
      <c r="F21" s="60">
        <f>FixedServicesMonth*(1+INDEX(ScenarioMatrix,7,$B$3))^(F7-1)</f>
        <v/>
      </c>
      <c r="G21" s="60">
        <f>FixedServicesMonth*(1+INDEX(ScenarioMatrix,7,$B$3))^(G7-1)</f>
        <v/>
      </c>
      <c r="H21" s="60">
        <f>FixedServicesMonth*(1+INDEX(ScenarioMatrix,7,$B$3))^(H7-1)</f>
        <v/>
      </c>
      <c r="I21" s="60">
        <f>FixedServicesMonth*(1+INDEX(ScenarioMatrix,7,$B$3))^(I7-1)</f>
        <v/>
      </c>
      <c r="J21" s="60">
        <f>FixedServicesMonth*(1+INDEX(ScenarioMatrix,7,$B$3))^(J7-1)</f>
        <v/>
      </c>
      <c r="K21" s="60">
        <f>FixedServicesMonth*(1+INDEX(ScenarioMatrix,7,$B$3))^(K7-1)</f>
        <v/>
      </c>
      <c r="L21" s="60">
        <f>FixedServicesMonth*(1+INDEX(ScenarioMatrix,7,$B$3))^(L7-1)</f>
        <v/>
      </c>
      <c r="M21" s="60">
        <f>FixedServicesMonth*(1+INDEX(ScenarioMatrix,7,$B$3))^(M7-1)</f>
        <v/>
      </c>
      <c r="N21" s="60">
        <f>FixedServicesMonth*(1+INDEX(ScenarioMatrix,7,$B$3))^(N7-1)</f>
        <v/>
      </c>
      <c r="O21" s="60">
        <f>FixedServicesMonth*(1+INDEX(ScenarioMatrix,7,$B$3))^(O7-1)</f>
        <v/>
      </c>
      <c r="P21" s="60">
        <f>FixedServicesMonth*(1+INDEX(ScenarioMatrix,7,$B$3))^(P7-1)</f>
        <v/>
      </c>
      <c r="Q21" s="60">
        <f>FixedServicesMonth*(1+INDEX(ScenarioMatrix,7,$B$3))^(Q7-1)</f>
        <v/>
      </c>
      <c r="R21" s="60">
        <f>FixedServicesMonth*(1+INDEX(ScenarioMatrix,7,$B$3))^(R7-1)</f>
        <v/>
      </c>
      <c r="S21" s="60">
        <f>FixedServicesMonth*(1+INDEX(ScenarioMatrix,7,$B$3))^(S7-1)</f>
        <v/>
      </c>
      <c r="T21" s="60">
        <f>FixedServicesMonth*(1+INDEX(ScenarioMatrix,7,$B$3))^(T7-1)</f>
        <v/>
      </c>
      <c r="U21" s="60">
        <f>FixedServicesMonth*(1+INDEX(ScenarioMatrix,7,$B$3))^(U7-1)</f>
        <v/>
      </c>
      <c r="V21" s="60">
        <f>FixedServicesMonth*(1+INDEX(ScenarioMatrix,7,$B$3))^(V7-1)</f>
        <v/>
      </c>
      <c r="W21" s="60">
        <f>FixedServicesMonth*(1+INDEX(ScenarioMatrix,7,$B$3))^(W7-1)</f>
        <v/>
      </c>
      <c r="X21" s="60">
        <f>FixedServicesMonth*(1+INDEX(ScenarioMatrix,7,$B$3))^(X7-1)</f>
        <v/>
      </c>
      <c r="Y21" s="60">
        <f>FixedServicesMonth*(1+INDEX(ScenarioMatrix,7,$B$3))^(Y7-1)</f>
        <v/>
      </c>
      <c r="Z21" s="60">
        <f>FixedServicesMonth*(1+INDEX(ScenarioMatrix,7,$B$3))^(Z7-1)</f>
        <v/>
      </c>
      <c r="AA21" s="60">
        <f>FixedServicesMonth*(1+INDEX(ScenarioMatrix,7,$B$3))^(AA7-1)</f>
        <v/>
      </c>
      <c r="AB21" s="60">
        <f>FixedServicesMonth*(1+INDEX(ScenarioMatrix,7,$B$3))^(AB7-1)</f>
        <v/>
      </c>
      <c r="AC21" s="60">
        <f>FixedServicesMonth*(1+INDEX(ScenarioMatrix,7,$B$3))^(AC7-1)</f>
        <v/>
      </c>
      <c r="AD21" s="60">
        <f>FixedServicesMonth*(1+INDEX(ScenarioMatrix,7,$B$3))^(AD7-1)</f>
        <v/>
      </c>
      <c r="AE21" s="60">
        <f>FixedServicesMonth*(1+INDEX(ScenarioMatrix,7,$B$3))^(AE7-1)</f>
        <v/>
      </c>
      <c r="AF21" s="60">
        <f>FixedServicesMonth*(1+INDEX(ScenarioMatrix,7,$B$3))^(AF7-1)</f>
        <v/>
      </c>
      <c r="AG21" s="60">
        <f>FixedServicesMonth*(1+INDEX(ScenarioMatrix,7,$B$3))^(AG7-1)</f>
        <v/>
      </c>
      <c r="AH21" s="60">
        <f>FixedServicesMonth*(1+INDEX(ScenarioMatrix,7,$B$3))^(AH7-1)</f>
        <v/>
      </c>
      <c r="AI21" s="60">
        <f>FixedServicesMonth*(1+INDEX(ScenarioMatrix,7,$B$3))^(AI7-1)</f>
        <v/>
      </c>
      <c r="AJ21" s="60">
        <f>FixedServicesMonth*(1+INDEX(ScenarioMatrix,7,$B$3))^(AJ7-1)</f>
        <v/>
      </c>
      <c r="AK21" s="60">
        <f>FixedServicesMonth*(1+INDEX(ScenarioMatrix,7,$B$3))^(AK7-1)</f>
        <v/>
      </c>
      <c r="AL21" s="60">
        <f>FixedServicesMonth*(1+INDEX(ScenarioMatrix,7,$B$3))^(AL7-1)</f>
        <v/>
      </c>
      <c r="AM21" s="60">
        <f>SUM(C21:N21)</f>
        <v/>
      </c>
      <c r="AN21" s="60">
        <f>SUM(O21:Z21)</f>
        <v/>
      </c>
      <c r="AO21" s="60">
        <f>SUM(AA21:AL21)</f>
        <v/>
      </c>
      <c r="AP21" s="60">
        <f>SUM(AM21:AO21)</f>
        <v/>
      </c>
    </row>
    <row r="22">
      <c r="A22" s="6" t="inlineStr">
        <is>
          <t>Marketing fijo</t>
        </is>
      </c>
      <c r="B22" s="24" t="inlineStr">
        <is>
          <t>€</t>
        </is>
      </c>
      <c r="C22" s="60">
        <f>FixedMarketingMonth*(1+FixedMarketingGrowth)^(C7-1)</f>
        <v/>
      </c>
      <c r="D22" s="60">
        <f>FixedMarketingMonth*(1+FixedMarketingGrowth)^(D7-1)</f>
        <v/>
      </c>
      <c r="E22" s="60">
        <f>FixedMarketingMonth*(1+FixedMarketingGrowth)^(E7-1)</f>
        <v/>
      </c>
      <c r="F22" s="60">
        <f>FixedMarketingMonth*(1+FixedMarketingGrowth)^(F7-1)</f>
        <v/>
      </c>
      <c r="G22" s="60">
        <f>FixedMarketingMonth*(1+FixedMarketingGrowth)^(G7-1)</f>
        <v/>
      </c>
      <c r="H22" s="60">
        <f>FixedMarketingMonth*(1+FixedMarketingGrowth)^(H7-1)</f>
        <v/>
      </c>
      <c r="I22" s="60">
        <f>FixedMarketingMonth*(1+FixedMarketingGrowth)^(I7-1)</f>
        <v/>
      </c>
      <c r="J22" s="60">
        <f>FixedMarketingMonth*(1+FixedMarketingGrowth)^(J7-1)</f>
        <v/>
      </c>
      <c r="K22" s="60">
        <f>FixedMarketingMonth*(1+FixedMarketingGrowth)^(K7-1)</f>
        <v/>
      </c>
      <c r="L22" s="60">
        <f>FixedMarketingMonth*(1+FixedMarketingGrowth)^(L7-1)</f>
        <v/>
      </c>
      <c r="M22" s="60">
        <f>FixedMarketingMonth*(1+FixedMarketingGrowth)^(M7-1)</f>
        <v/>
      </c>
      <c r="N22" s="60">
        <f>FixedMarketingMonth*(1+FixedMarketingGrowth)^(N7-1)</f>
        <v/>
      </c>
      <c r="O22" s="60">
        <f>FixedMarketingMonth*(1+FixedMarketingGrowth)^(O7-1)</f>
        <v/>
      </c>
      <c r="P22" s="60">
        <f>FixedMarketingMonth*(1+FixedMarketingGrowth)^(P7-1)</f>
        <v/>
      </c>
      <c r="Q22" s="60">
        <f>FixedMarketingMonth*(1+FixedMarketingGrowth)^(Q7-1)</f>
        <v/>
      </c>
      <c r="R22" s="60">
        <f>FixedMarketingMonth*(1+FixedMarketingGrowth)^(R7-1)</f>
        <v/>
      </c>
      <c r="S22" s="60">
        <f>FixedMarketingMonth*(1+FixedMarketingGrowth)^(S7-1)</f>
        <v/>
      </c>
      <c r="T22" s="60">
        <f>FixedMarketingMonth*(1+FixedMarketingGrowth)^(T7-1)</f>
        <v/>
      </c>
      <c r="U22" s="60">
        <f>FixedMarketingMonth*(1+FixedMarketingGrowth)^(U7-1)</f>
        <v/>
      </c>
      <c r="V22" s="60">
        <f>FixedMarketingMonth*(1+FixedMarketingGrowth)^(V7-1)</f>
        <v/>
      </c>
      <c r="W22" s="60">
        <f>FixedMarketingMonth*(1+FixedMarketingGrowth)^(W7-1)</f>
        <v/>
      </c>
      <c r="X22" s="60">
        <f>FixedMarketingMonth*(1+FixedMarketingGrowth)^(X7-1)</f>
        <v/>
      </c>
      <c r="Y22" s="60">
        <f>FixedMarketingMonth*(1+FixedMarketingGrowth)^(Y7-1)</f>
        <v/>
      </c>
      <c r="Z22" s="60">
        <f>FixedMarketingMonth*(1+FixedMarketingGrowth)^(Z7-1)</f>
        <v/>
      </c>
      <c r="AA22" s="60">
        <f>FixedMarketingMonth*(1+FixedMarketingGrowth)^(AA7-1)</f>
        <v/>
      </c>
      <c r="AB22" s="60">
        <f>FixedMarketingMonth*(1+FixedMarketingGrowth)^(AB7-1)</f>
        <v/>
      </c>
      <c r="AC22" s="60">
        <f>FixedMarketingMonth*(1+FixedMarketingGrowth)^(AC7-1)</f>
        <v/>
      </c>
      <c r="AD22" s="60">
        <f>FixedMarketingMonth*(1+FixedMarketingGrowth)^(AD7-1)</f>
        <v/>
      </c>
      <c r="AE22" s="60">
        <f>FixedMarketingMonth*(1+FixedMarketingGrowth)^(AE7-1)</f>
        <v/>
      </c>
      <c r="AF22" s="60">
        <f>FixedMarketingMonth*(1+FixedMarketingGrowth)^(AF7-1)</f>
        <v/>
      </c>
      <c r="AG22" s="60">
        <f>FixedMarketingMonth*(1+FixedMarketingGrowth)^(AG7-1)</f>
        <v/>
      </c>
      <c r="AH22" s="60">
        <f>FixedMarketingMonth*(1+FixedMarketingGrowth)^(AH7-1)</f>
        <v/>
      </c>
      <c r="AI22" s="60">
        <f>FixedMarketingMonth*(1+FixedMarketingGrowth)^(AI7-1)</f>
        <v/>
      </c>
      <c r="AJ22" s="60">
        <f>FixedMarketingMonth*(1+FixedMarketingGrowth)^(AJ7-1)</f>
        <v/>
      </c>
      <c r="AK22" s="60">
        <f>FixedMarketingMonth*(1+FixedMarketingGrowth)^(AK7-1)</f>
        <v/>
      </c>
      <c r="AL22" s="60">
        <f>FixedMarketingMonth*(1+FixedMarketingGrowth)^(AL7-1)</f>
        <v/>
      </c>
      <c r="AM22" s="60">
        <f>SUM(C22:N22)</f>
        <v/>
      </c>
      <c r="AN22" s="60">
        <f>SUM(O22:Z22)</f>
        <v/>
      </c>
      <c r="AO22" s="60">
        <f>SUM(AA22:AL22)</f>
        <v/>
      </c>
      <c r="AP22" s="60">
        <f>SUM(AM22:AO22)</f>
        <v/>
      </c>
    </row>
    <row r="23">
      <c r="A23" s="6" t="inlineStr">
        <is>
          <t>Marketing variable</t>
        </is>
      </c>
      <c r="B23" s="24" t="inlineStr">
        <is>
          <t>€</t>
        </is>
      </c>
      <c r="C23" s="60">
        <f>INDEX(ScenarioMatrix,8,$B$3)*C15</f>
        <v/>
      </c>
      <c r="D23" s="60">
        <f>INDEX(ScenarioMatrix,8,$B$3)*D15</f>
        <v/>
      </c>
      <c r="E23" s="60">
        <f>INDEX(ScenarioMatrix,8,$B$3)*E15</f>
        <v/>
      </c>
      <c r="F23" s="60">
        <f>INDEX(ScenarioMatrix,8,$B$3)*F15</f>
        <v/>
      </c>
      <c r="G23" s="60">
        <f>INDEX(ScenarioMatrix,8,$B$3)*G15</f>
        <v/>
      </c>
      <c r="H23" s="60">
        <f>INDEX(ScenarioMatrix,8,$B$3)*H15</f>
        <v/>
      </c>
      <c r="I23" s="60">
        <f>INDEX(ScenarioMatrix,8,$B$3)*I15</f>
        <v/>
      </c>
      <c r="J23" s="60">
        <f>INDEX(ScenarioMatrix,8,$B$3)*J15</f>
        <v/>
      </c>
      <c r="K23" s="60">
        <f>INDEX(ScenarioMatrix,8,$B$3)*K15</f>
        <v/>
      </c>
      <c r="L23" s="60">
        <f>INDEX(ScenarioMatrix,8,$B$3)*L15</f>
        <v/>
      </c>
      <c r="M23" s="60">
        <f>INDEX(ScenarioMatrix,8,$B$3)*M15</f>
        <v/>
      </c>
      <c r="N23" s="60">
        <f>INDEX(ScenarioMatrix,8,$B$3)*N15</f>
        <v/>
      </c>
      <c r="O23" s="60">
        <f>INDEX(ScenarioMatrix,8,$B$3)*O15</f>
        <v/>
      </c>
      <c r="P23" s="60">
        <f>INDEX(ScenarioMatrix,8,$B$3)*P15</f>
        <v/>
      </c>
      <c r="Q23" s="60">
        <f>INDEX(ScenarioMatrix,8,$B$3)*Q15</f>
        <v/>
      </c>
      <c r="R23" s="60">
        <f>INDEX(ScenarioMatrix,8,$B$3)*R15</f>
        <v/>
      </c>
      <c r="S23" s="60">
        <f>INDEX(ScenarioMatrix,8,$B$3)*S15</f>
        <v/>
      </c>
      <c r="T23" s="60">
        <f>INDEX(ScenarioMatrix,8,$B$3)*T15</f>
        <v/>
      </c>
      <c r="U23" s="60">
        <f>INDEX(ScenarioMatrix,8,$B$3)*U15</f>
        <v/>
      </c>
      <c r="V23" s="60">
        <f>INDEX(ScenarioMatrix,8,$B$3)*V15</f>
        <v/>
      </c>
      <c r="W23" s="60">
        <f>INDEX(ScenarioMatrix,8,$B$3)*W15</f>
        <v/>
      </c>
      <c r="X23" s="60">
        <f>INDEX(ScenarioMatrix,8,$B$3)*X15</f>
        <v/>
      </c>
      <c r="Y23" s="60">
        <f>INDEX(ScenarioMatrix,8,$B$3)*Y15</f>
        <v/>
      </c>
      <c r="Z23" s="60">
        <f>INDEX(ScenarioMatrix,8,$B$3)*Z15</f>
        <v/>
      </c>
      <c r="AA23" s="60">
        <f>INDEX(ScenarioMatrix,8,$B$3)*AA15</f>
        <v/>
      </c>
      <c r="AB23" s="60">
        <f>INDEX(ScenarioMatrix,8,$B$3)*AB15</f>
        <v/>
      </c>
      <c r="AC23" s="60">
        <f>INDEX(ScenarioMatrix,8,$B$3)*AC15</f>
        <v/>
      </c>
      <c r="AD23" s="60">
        <f>INDEX(ScenarioMatrix,8,$B$3)*AD15</f>
        <v/>
      </c>
      <c r="AE23" s="60">
        <f>INDEX(ScenarioMatrix,8,$B$3)*AE15</f>
        <v/>
      </c>
      <c r="AF23" s="60">
        <f>INDEX(ScenarioMatrix,8,$B$3)*AF15</f>
        <v/>
      </c>
      <c r="AG23" s="60">
        <f>INDEX(ScenarioMatrix,8,$B$3)*AG15</f>
        <v/>
      </c>
      <c r="AH23" s="60">
        <f>INDEX(ScenarioMatrix,8,$B$3)*AH15</f>
        <v/>
      </c>
      <c r="AI23" s="60">
        <f>INDEX(ScenarioMatrix,8,$B$3)*AI15</f>
        <v/>
      </c>
      <c r="AJ23" s="60">
        <f>INDEX(ScenarioMatrix,8,$B$3)*AJ15</f>
        <v/>
      </c>
      <c r="AK23" s="60">
        <f>INDEX(ScenarioMatrix,8,$B$3)*AK15</f>
        <v/>
      </c>
      <c r="AL23" s="60">
        <f>INDEX(ScenarioMatrix,8,$B$3)*AL15</f>
        <v/>
      </c>
      <c r="AM23" s="60">
        <f>SUM(C23:N23)</f>
        <v/>
      </c>
      <c r="AN23" s="60">
        <f>SUM(O23:Z23)</f>
        <v/>
      </c>
      <c r="AO23" s="60">
        <f>SUM(AA23:AL23)</f>
        <v/>
      </c>
      <c r="AP23" s="60">
        <f>SUM(AM23:AO23)</f>
        <v/>
      </c>
    </row>
    <row r="24">
      <c r="A24" s="6" t="inlineStr">
        <is>
          <t>Otros gastos</t>
        </is>
      </c>
      <c r="B24" s="24" t="inlineStr">
        <is>
          <t>€</t>
        </is>
      </c>
      <c r="C24" s="60">
        <f>OtherOpexMonth*INDEX(ScenarioMatrix,9,$B$3)*(1+INDEX(ScenarioMatrix,10,$B$3))^(C7-1)</f>
        <v/>
      </c>
      <c r="D24" s="60">
        <f>OtherOpexMonth*INDEX(ScenarioMatrix,9,$B$3)*(1+INDEX(ScenarioMatrix,10,$B$3))^(D7-1)</f>
        <v/>
      </c>
      <c r="E24" s="60">
        <f>OtherOpexMonth*INDEX(ScenarioMatrix,9,$B$3)*(1+INDEX(ScenarioMatrix,10,$B$3))^(E7-1)</f>
        <v/>
      </c>
      <c r="F24" s="60">
        <f>OtherOpexMonth*INDEX(ScenarioMatrix,9,$B$3)*(1+INDEX(ScenarioMatrix,10,$B$3))^(F7-1)</f>
        <v/>
      </c>
      <c r="G24" s="60">
        <f>OtherOpexMonth*INDEX(ScenarioMatrix,9,$B$3)*(1+INDEX(ScenarioMatrix,10,$B$3))^(G7-1)</f>
        <v/>
      </c>
      <c r="H24" s="60">
        <f>OtherOpexMonth*INDEX(ScenarioMatrix,9,$B$3)*(1+INDEX(ScenarioMatrix,10,$B$3))^(H7-1)</f>
        <v/>
      </c>
      <c r="I24" s="60">
        <f>OtherOpexMonth*INDEX(ScenarioMatrix,9,$B$3)*(1+INDEX(ScenarioMatrix,10,$B$3))^(I7-1)</f>
        <v/>
      </c>
      <c r="J24" s="60">
        <f>OtherOpexMonth*INDEX(ScenarioMatrix,9,$B$3)*(1+INDEX(ScenarioMatrix,10,$B$3))^(J7-1)</f>
        <v/>
      </c>
      <c r="K24" s="60">
        <f>OtherOpexMonth*INDEX(ScenarioMatrix,9,$B$3)*(1+INDEX(ScenarioMatrix,10,$B$3))^(K7-1)</f>
        <v/>
      </c>
      <c r="L24" s="60">
        <f>OtherOpexMonth*INDEX(ScenarioMatrix,9,$B$3)*(1+INDEX(ScenarioMatrix,10,$B$3))^(L7-1)</f>
        <v/>
      </c>
      <c r="M24" s="60">
        <f>OtherOpexMonth*INDEX(ScenarioMatrix,9,$B$3)*(1+INDEX(ScenarioMatrix,10,$B$3))^(M7-1)</f>
        <v/>
      </c>
      <c r="N24" s="60">
        <f>OtherOpexMonth*INDEX(ScenarioMatrix,9,$B$3)*(1+INDEX(ScenarioMatrix,10,$B$3))^(N7-1)</f>
        <v/>
      </c>
      <c r="O24" s="60">
        <f>OtherOpexMonth*INDEX(ScenarioMatrix,9,$B$3)*(1+INDEX(ScenarioMatrix,10,$B$3))^(O7-1)</f>
        <v/>
      </c>
      <c r="P24" s="60">
        <f>OtherOpexMonth*INDEX(ScenarioMatrix,9,$B$3)*(1+INDEX(ScenarioMatrix,10,$B$3))^(P7-1)</f>
        <v/>
      </c>
      <c r="Q24" s="60">
        <f>OtherOpexMonth*INDEX(ScenarioMatrix,9,$B$3)*(1+INDEX(ScenarioMatrix,10,$B$3))^(Q7-1)</f>
        <v/>
      </c>
      <c r="R24" s="60">
        <f>OtherOpexMonth*INDEX(ScenarioMatrix,9,$B$3)*(1+INDEX(ScenarioMatrix,10,$B$3))^(R7-1)</f>
        <v/>
      </c>
      <c r="S24" s="60">
        <f>OtherOpexMonth*INDEX(ScenarioMatrix,9,$B$3)*(1+INDEX(ScenarioMatrix,10,$B$3))^(S7-1)</f>
        <v/>
      </c>
      <c r="T24" s="60">
        <f>OtherOpexMonth*INDEX(ScenarioMatrix,9,$B$3)*(1+INDEX(ScenarioMatrix,10,$B$3))^(T7-1)</f>
        <v/>
      </c>
      <c r="U24" s="60">
        <f>OtherOpexMonth*INDEX(ScenarioMatrix,9,$B$3)*(1+INDEX(ScenarioMatrix,10,$B$3))^(U7-1)</f>
        <v/>
      </c>
      <c r="V24" s="60">
        <f>OtherOpexMonth*INDEX(ScenarioMatrix,9,$B$3)*(1+INDEX(ScenarioMatrix,10,$B$3))^(V7-1)</f>
        <v/>
      </c>
      <c r="W24" s="60">
        <f>OtherOpexMonth*INDEX(ScenarioMatrix,9,$B$3)*(1+INDEX(ScenarioMatrix,10,$B$3))^(W7-1)</f>
        <v/>
      </c>
      <c r="X24" s="60">
        <f>OtherOpexMonth*INDEX(ScenarioMatrix,9,$B$3)*(1+INDEX(ScenarioMatrix,10,$B$3))^(X7-1)</f>
        <v/>
      </c>
      <c r="Y24" s="60">
        <f>OtherOpexMonth*INDEX(ScenarioMatrix,9,$B$3)*(1+INDEX(ScenarioMatrix,10,$B$3))^(Y7-1)</f>
        <v/>
      </c>
      <c r="Z24" s="60">
        <f>OtherOpexMonth*INDEX(ScenarioMatrix,9,$B$3)*(1+INDEX(ScenarioMatrix,10,$B$3))^(Z7-1)</f>
        <v/>
      </c>
      <c r="AA24" s="60">
        <f>OtherOpexMonth*INDEX(ScenarioMatrix,9,$B$3)*(1+INDEX(ScenarioMatrix,10,$B$3))^(AA7-1)</f>
        <v/>
      </c>
      <c r="AB24" s="60">
        <f>OtherOpexMonth*INDEX(ScenarioMatrix,9,$B$3)*(1+INDEX(ScenarioMatrix,10,$B$3))^(AB7-1)</f>
        <v/>
      </c>
      <c r="AC24" s="60">
        <f>OtherOpexMonth*INDEX(ScenarioMatrix,9,$B$3)*(1+INDEX(ScenarioMatrix,10,$B$3))^(AC7-1)</f>
        <v/>
      </c>
      <c r="AD24" s="60">
        <f>OtherOpexMonth*INDEX(ScenarioMatrix,9,$B$3)*(1+INDEX(ScenarioMatrix,10,$B$3))^(AD7-1)</f>
        <v/>
      </c>
      <c r="AE24" s="60">
        <f>OtherOpexMonth*INDEX(ScenarioMatrix,9,$B$3)*(1+INDEX(ScenarioMatrix,10,$B$3))^(AE7-1)</f>
        <v/>
      </c>
      <c r="AF24" s="60">
        <f>OtherOpexMonth*INDEX(ScenarioMatrix,9,$B$3)*(1+INDEX(ScenarioMatrix,10,$B$3))^(AF7-1)</f>
        <v/>
      </c>
      <c r="AG24" s="60">
        <f>OtherOpexMonth*INDEX(ScenarioMatrix,9,$B$3)*(1+INDEX(ScenarioMatrix,10,$B$3))^(AG7-1)</f>
        <v/>
      </c>
      <c r="AH24" s="60">
        <f>OtherOpexMonth*INDEX(ScenarioMatrix,9,$B$3)*(1+INDEX(ScenarioMatrix,10,$B$3))^(AH7-1)</f>
        <v/>
      </c>
      <c r="AI24" s="60">
        <f>OtherOpexMonth*INDEX(ScenarioMatrix,9,$B$3)*(1+INDEX(ScenarioMatrix,10,$B$3))^(AI7-1)</f>
        <v/>
      </c>
      <c r="AJ24" s="60">
        <f>OtherOpexMonth*INDEX(ScenarioMatrix,9,$B$3)*(1+INDEX(ScenarioMatrix,10,$B$3))^(AJ7-1)</f>
        <v/>
      </c>
      <c r="AK24" s="60">
        <f>OtherOpexMonth*INDEX(ScenarioMatrix,9,$B$3)*(1+INDEX(ScenarioMatrix,10,$B$3))^(AK7-1)</f>
        <v/>
      </c>
      <c r="AL24" s="60">
        <f>OtherOpexMonth*INDEX(ScenarioMatrix,9,$B$3)*(1+INDEX(ScenarioMatrix,10,$B$3))^(AL7-1)</f>
        <v/>
      </c>
      <c r="AM24" s="60">
        <f>SUM(C24:N24)</f>
        <v/>
      </c>
      <c r="AN24" s="60">
        <f>SUM(O24:Z24)</f>
        <v/>
      </c>
      <c r="AO24" s="60">
        <f>SUM(AA24:AL24)</f>
        <v/>
      </c>
      <c r="AP24" s="60">
        <f>SUM(AM24:AO24)</f>
        <v/>
      </c>
    </row>
    <row r="25">
      <c r="A25" s="6" t="inlineStr">
        <is>
          <t>Total opex + personal</t>
        </is>
      </c>
      <c r="B25" s="24" t="inlineStr">
        <is>
          <t>€</t>
        </is>
      </c>
      <c r="C25" s="59">
        <f>SUM(C18:C24)</f>
        <v/>
      </c>
      <c r="D25" s="59">
        <f>SUM(D18:D24)</f>
        <v/>
      </c>
      <c r="E25" s="59">
        <f>SUM(E18:E24)</f>
        <v/>
      </c>
      <c r="F25" s="59">
        <f>SUM(F18:F24)</f>
        <v/>
      </c>
      <c r="G25" s="59">
        <f>SUM(G18:G24)</f>
        <v/>
      </c>
      <c r="H25" s="59">
        <f>SUM(H18:H24)</f>
        <v/>
      </c>
      <c r="I25" s="59">
        <f>SUM(I18:I24)</f>
        <v/>
      </c>
      <c r="J25" s="59">
        <f>SUM(J18:J24)</f>
        <v/>
      </c>
      <c r="K25" s="59">
        <f>SUM(K18:K24)</f>
        <v/>
      </c>
      <c r="L25" s="59">
        <f>SUM(L18:L24)</f>
        <v/>
      </c>
      <c r="M25" s="59">
        <f>SUM(M18:M24)</f>
        <v/>
      </c>
      <c r="N25" s="59">
        <f>SUM(N18:N24)</f>
        <v/>
      </c>
      <c r="O25" s="59">
        <f>SUM(O18:O24)</f>
        <v/>
      </c>
      <c r="P25" s="59">
        <f>SUM(P18:P24)</f>
        <v/>
      </c>
      <c r="Q25" s="59">
        <f>SUM(Q18:Q24)</f>
        <v/>
      </c>
      <c r="R25" s="59">
        <f>SUM(R18:R24)</f>
        <v/>
      </c>
      <c r="S25" s="59">
        <f>SUM(S18:S24)</f>
        <v/>
      </c>
      <c r="T25" s="59">
        <f>SUM(T18:T24)</f>
        <v/>
      </c>
      <c r="U25" s="59">
        <f>SUM(U18:U24)</f>
        <v/>
      </c>
      <c r="V25" s="59">
        <f>SUM(V18:V24)</f>
        <v/>
      </c>
      <c r="W25" s="59">
        <f>SUM(W18:W24)</f>
        <v/>
      </c>
      <c r="X25" s="59">
        <f>SUM(X18:X24)</f>
        <v/>
      </c>
      <c r="Y25" s="59">
        <f>SUM(Y18:Y24)</f>
        <v/>
      </c>
      <c r="Z25" s="59">
        <f>SUM(Z18:Z24)</f>
        <v/>
      </c>
      <c r="AA25" s="59">
        <f>SUM(AA18:AA24)</f>
        <v/>
      </c>
      <c r="AB25" s="59">
        <f>SUM(AB18:AB24)</f>
        <v/>
      </c>
      <c r="AC25" s="59">
        <f>SUM(AC18:AC24)</f>
        <v/>
      </c>
      <c r="AD25" s="59">
        <f>SUM(AD18:AD24)</f>
        <v/>
      </c>
      <c r="AE25" s="59">
        <f>SUM(AE18:AE24)</f>
        <v/>
      </c>
      <c r="AF25" s="59">
        <f>SUM(AF18:AF24)</f>
        <v/>
      </c>
      <c r="AG25" s="59">
        <f>SUM(AG18:AG24)</f>
        <v/>
      </c>
      <c r="AH25" s="59">
        <f>SUM(AH18:AH24)</f>
        <v/>
      </c>
      <c r="AI25" s="59">
        <f>SUM(AI18:AI24)</f>
        <v/>
      </c>
      <c r="AJ25" s="59">
        <f>SUM(AJ18:AJ24)</f>
        <v/>
      </c>
      <c r="AK25" s="59">
        <f>SUM(AK18:AK24)</f>
        <v/>
      </c>
      <c r="AL25" s="59">
        <f>SUM(AL18:AL24)</f>
        <v/>
      </c>
      <c r="AM25" s="59">
        <f>SUM(C25:N25)</f>
        <v/>
      </c>
      <c r="AN25" s="59">
        <f>SUM(O25:Z25)</f>
        <v/>
      </c>
      <c r="AO25" s="59">
        <f>SUM(AA25:AL25)</f>
        <v/>
      </c>
      <c r="AP25" s="59">
        <f>SUM(AM25:AO25)</f>
        <v/>
      </c>
    </row>
    <row r="26">
      <c r="A26" s="6" t="inlineStr">
        <is>
          <t>EBITDA</t>
        </is>
      </c>
      <c r="B26" s="24" t="inlineStr">
        <is>
          <t>€</t>
        </is>
      </c>
      <c r="C26" s="59">
        <f>C17-C25</f>
        <v/>
      </c>
      <c r="D26" s="59">
        <f>D17-D25</f>
        <v/>
      </c>
      <c r="E26" s="59">
        <f>E17-E25</f>
        <v/>
      </c>
      <c r="F26" s="59">
        <f>F17-F25</f>
        <v/>
      </c>
      <c r="G26" s="59">
        <f>G17-G25</f>
        <v/>
      </c>
      <c r="H26" s="59">
        <f>H17-H25</f>
        <v/>
      </c>
      <c r="I26" s="59">
        <f>I17-I25</f>
        <v/>
      </c>
      <c r="J26" s="59">
        <f>J17-J25</f>
        <v/>
      </c>
      <c r="K26" s="59">
        <f>K17-K25</f>
        <v/>
      </c>
      <c r="L26" s="59">
        <f>L17-L25</f>
        <v/>
      </c>
      <c r="M26" s="59">
        <f>M17-M25</f>
        <v/>
      </c>
      <c r="N26" s="59">
        <f>N17-N25</f>
        <v/>
      </c>
      <c r="O26" s="59">
        <f>O17-O25</f>
        <v/>
      </c>
      <c r="P26" s="59">
        <f>P17-P25</f>
        <v/>
      </c>
      <c r="Q26" s="59">
        <f>Q17-Q25</f>
        <v/>
      </c>
      <c r="R26" s="59">
        <f>R17-R25</f>
        <v/>
      </c>
      <c r="S26" s="59">
        <f>S17-S25</f>
        <v/>
      </c>
      <c r="T26" s="59">
        <f>T17-T25</f>
        <v/>
      </c>
      <c r="U26" s="59">
        <f>U17-U25</f>
        <v/>
      </c>
      <c r="V26" s="59">
        <f>V17-V25</f>
        <v/>
      </c>
      <c r="W26" s="59">
        <f>W17-W25</f>
        <v/>
      </c>
      <c r="X26" s="59">
        <f>X17-X25</f>
        <v/>
      </c>
      <c r="Y26" s="59">
        <f>Y17-Y25</f>
        <v/>
      </c>
      <c r="Z26" s="59">
        <f>Z17-Z25</f>
        <v/>
      </c>
      <c r="AA26" s="59">
        <f>AA17-AA25</f>
        <v/>
      </c>
      <c r="AB26" s="59">
        <f>AB17-AB25</f>
        <v/>
      </c>
      <c r="AC26" s="59">
        <f>AC17-AC25</f>
        <v/>
      </c>
      <c r="AD26" s="59">
        <f>AD17-AD25</f>
        <v/>
      </c>
      <c r="AE26" s="59">
        <f>AE17-AE25</f>
        <v/>
      </c>
      <c r="AF26" s="59">
        <f>AF17-AF25</f>
        <v/>
      </c>
      <c r="AG26" s="59">
        <f>AG17-AG25</f>
        <v/>
      </c>
      <c r="AH26" s="59">
        <f>AH17-AH25</f>
        <v/>
      </c>
      <c r="AI26" s="59">
        <f>AI17-AI25</f>
        <v/>
      </c>
      <c r="AJ26" s="59">
        <f>AJ17-AJ25</f>
        <v/>
      </c>
      <c r="AK26" s="59">
        <f>AK17-AK25</f>
        <v/>
      </c>
      <c r="AL26" s="59">
        <f>AL17-AL25</f>
        <v/>
      </c>
      <c r="AM26" s="59">
        <f>SUM(C26:N26)</f>
        <v/>
      </c>
      <c r="AN26" s="59">
        <f>SUM(O26:Z26)</f>
        <v/>
      </c>
      <c r="AO26" s="59">
        <f>SUM(AA26:AL26)</f>
        <v/>
      </c>
      <c r="AP26" s="59">
        <f>SUM(AM26:AO26)</f>
        <v/>
      </c>
    </row>
    <row r="27">
      <c r="A27" s="6" t="inlineStr">
        <is>
          <t>Amortización</t>
        </is>
      </c>
      <c r="B27" s="24" t="inlineStr">
        <is>
          <t>€</t>
        </is>
      </c>
      <c r="C27" s="60">
        <f>MonthlyDepreciation</f>
        <v/>
      </c>
      <c r="D27" s="60">
        <f>MonthlyDepreciation</f>
        <v/>
      </c>
      <c r="E27" s="60">
        <f>MonthlyDepreciation</f>
        <v/>
      </c>
      <c r="F27" s="60">
        <f>MonthlyDepreciation</f>
        <v/>
      </c>
      <c r="G27" s="60">
        <f>MonthlyDepreciation</f>
        <v/>
      </c>
      <c r="H27" s="60">
        <f>MonthlyDepreciation</f>
        <v/>
      </c>
      <c r="I27" s="60">
        <f>MonthlyDepreciation</f>
        <v/>
      </c>
      <c r="J27" s="60">
        <f>MonthlyDepreciation</f>
        <v/>
      </c>
      <c r="K27" s="60">
        <f>MonthlyDepreciation</f>
        <v/>
      </c>
      <c r="L27" s="60">
        <f>MonthlyDepreciation</f>
        <v/>
      </c>
      <c r="M27" s="60">
        <f>MonthlyDepreciation</f>
        <v/>
      </c>
      <c r="N27" s="60">
        <f>MonthlyDepreciation</f>
        <v/>
      </c>
      <c r="O27" s="60">
        <f>MonthlyDepreciation</f>
        <v/>
      </c>
      <c r="P27" s="60">
        <f>MonthlyDepreciation</f>
        <v/>
      </c>
      <c r="Q27" s="60">
        <f>MonthlyDepreciation</f>
        <v/>
      </c>
      <c r="R27" s="60">
        <f>MonthlyDepreciation</f>
        <v/>
      </c>
      <c r="S27" s="60">
        <f>MonthlyDepreciation</f>
        <v/>
      </c>
      <c r="T27" s="60">
        <f>MonthlyDepreciation</f>
        <v/>
      </c>
      <c r="U27" s="60">
        <f>MonthlyDepreciation</f>
        <v/>
      </c>
      <c r="V27" s="60">
        <f>MonthlyDepreciation</f>
        <v/>
      </c>
      <c r="W27" s="60">
        <f>MonthlyDepreciation</f>
        <v/>
      </c>
      <c r="X27" s="60">
        <f>MonthlyDepreciation</f>
        <v/>
      </c>
      <c r="Y27" s="60">
        <f>MonthlyDepreciation</f>
        <v/>
      </c>
      <c r="Z27" s="60">
        <f>MonthlyDepreciation</f>
        <v/>
      </c>
      <c r="AA27" s="60">
        <f>MonthlyDepreciation</f>
        <v/>
      </c>
      <c r="AB27" s="60">
        <f>MonthlyDepreciation</f>
        <v/>
      </c>
      <c r="AC27" s="60">
        <f>MonthlyDepreciation</f>
        <v/>
      </c>
      <c r="AD27" s="60">
        <f>MonthlyDepreciation</f>
        <v/>
      </c>
      <c r="AE27" s="60">
        <f>MonthlyDepreciation</f>
        <v/>
      </c>
      <c r="AF27" s="60">
        <f>MonthlyDepreciation</f>
        <v/>
      </c>
      <c r="AG27" s="60">
        <f>MonthlyDepreciation</f>
        <v/>
      </c>
      <c r="AH27" s="60">
        <f>MonthlyDepreciation</f>
        <v/>
      </c>
      <c r="AI27" s="60">
        <f>MonthlyDepreciation</f>
        <v/>
      </c>
      <c r="AJ27" s="60">
        <f>MonthlyDepreciation</f>
        <v/>
      </c>
      <c r="AK27" s="60">
        <f>MonthlyDepreciation</f>
        <v/>
      </c>
      <c r="AL27" s="60">
        <f>MonthlyDepreciation</f>
        <v/>
      </c>
      <c r="AM27" s="60">
        <f>SUM(C27:N27)</f>
        <v/>
      </c>
      <c r="AN27" s="60">
        <f>SUM(O27:Z27)</f>
        <v/>
      </c>
      <c r="AO27" s="60">
        <f>SUM(AA27:AL27)</f>
        <v/>
      </c>
      <c r="AP27" s="60">
        <f>SUM(AM27:AO27)</f>
        <v/>
      </c>
    </row>
    <row r="28">
      <c r="A28" s="6" t="inlineStr">
        <is>
          <t>EBIT</t>
        </is>
      </c>
      <c r="B28" s="24" t="inlineStr">
        <is>
          <t>€</t>
        </is>
      </c>
      <c r="C28" s="59">
        <f>C26-C27</f>
        <v/>
      </c>
      <c r="D28" s="59">
        <f>D26-D27</f>
        <v/>
      </c>
      <c r="E28" s="59">
        <f>E26-E27</f>
        <v/>
      </c>
      <c r="F28" s="59">
        <f>F26-F27</f>
        <v/>
      </c>
      <c r="G28" s="59">
        <f>G26-G27</f>
        <v/>
      </c>
      <c r="H28" s="59">
        <f>H26-H27</f>
        <v/>
      </c>
      <c r="I28" s="59">
        <f>I26-I27</f>
        <v/>
      </c>
      <c r="J28" s="59">
        <f>J26-J27</f>
        <v/>
      </c>
      <c r="K28" s="59">
        <f>K26-K27</f>
        <v/>
      </c>
      <c r="L28" s="59">
        <f>L26-L27</f>
        <v/>
      </c>
      <c r="M28" s="59">
        <f>M26-M27</f>
        <v/>
      </c>
      <c r="N28" s="59">
        <f>N26-N27</f>
        <v/>
      </c>
      <c r="O28" s="59">
        <f>O26-O27</f>
        <v/>
      </c>
      <c r="P28" s="59">
        <f>P26-P27</f>
        <v/>
      </c>
      <c r="Q28" s="59">
        <f>Q26-Q27</f>
        <v/>
      </c>
      <c r="R28" s="59">
        <f>R26-R27</f>
        <v/>
      </c>
      <c r="S28" s="59">
        <f>S26-S27</f>
        <v/>
      </c>
      <c r="T28" s="59">
        <f>T26-T27</f>
        <v/>
      </c>
      <c r="U28" s="59">
        <f>U26-U27</f>
        <v/>
      </c>
      <c r="V28" s="59">
        <f>V26-V27</f>
        <v/>
      </c>
      <c r="W28" s="59">
        <f>W26-W27</f>
        <v/>
      </c>
      <c r="X28" s="59">
        <f>X26-X27</f>
        <v/>
      </c>
      <c r="Y28" s="59">
        <f>Y26-Y27</f>
        <v/>
      </c>
      <c r="Z28" s="59">
        <f>Z26-Z27</f>
        <v/>
      </c>
      <c r="AA28" s="59">
        <f>AA26-AA27</f>
        <v/>
      </c>
      <c r="AB28" s="59">
        <f>AB26-AB27</f>
        <v/>
      </c>
      <c r="AC28" s="59">
        <f>AC26-AC27</f>
        <v/>
      </c>
      <c r="AD28" s="59">
        <f>AD26-AD27</f>
        <v/>
      </c>
      <c r="AE28" s="59">
        <f>AE26-AE27</f>
        <v/>
      </c>
      <c r="AF28" s="59">
        <f>AF26-AF27</f>
        <v/>
      </c>
      <c r="AG28" s="59">
        <f>AG26-AG27</f>
        <v/>
      </c>
      <c r="AH28" s="59">
        <f>AH26-AH27</f>
        <v/>
      </c>
      <c r="AI28" s="59">
        <f>AI26-AI27</f>
        <v/>
      </c>
      <c r="AJ28" s="59">
        <f>AJ26-AJ27</f>
        <v/>
      </c>
      <c r="AK28" s="59">
        <f>AK26-AK27</f>
        <v/>
      </c>
      <c r="AL28" s="59">
        <f>AL26-AL27</f>
        <v/>
      </c>
      <c r="AM28" s="59">
        <f>SUM(C28:N28)</f>
        <v/>
      </c>
      <c r="AN28" s="59">
        <f>SUM(O28:Z28)</f>
        <v/>
      </c>
      <c r="AO28" s="59">
        <f>SUM(AA28:AL28)</f>
        <v/>
      </c>
      <c r="AP28" s="59">
        <f>SUM(AM28:AO28)</f>
        <v/>
      </c>
    </row>
    <row r="29">
      <c r="A29" s="6" t="inlineStr">
        <is>
          <t>Intereses</t>
        </is>
      </c>
      <c r="B29" s="24" t="inlineStr">
        <is>
          <t>€</t>
        </is>
      </c>
      <c r="C29" s="60">
        <f>C53</f>
        <v/>
      </c>
      <c r="D29" s="60">
        <f>D53</f>
        <v/>
      </c>
      <c r="E29" s="60">
        <f>E53</f>
        <v/>
      </c>
      <c r="F29" s="60">
        <f>F53</f>
        <v/>
      </c>
      <c r="G29" s="60">
        <f>G53</f>
        <v/>
      </c>
      <c r="H29" s="60">
        <f>H53</f>
        <v/>
      </c>
      <c r="I29" s="60">
        <f>I53</f>
        <v/>
      </c>
      <c r="J29" s="60">
        <f>J53</f>
        <v/>
      </c>
      <c r="K29" s="60">
        <f>K53</f>
        <v/>
      </c>
      <c r="L29" s="60">
        <f>L53</f>
        <v/>
      </c>
      <c r="M29" s="60">
        <f>M53</f>
        <v/>
      </c>
      <c r="N29" s="60">
        <f>N53</f>
        <v/>
      </c>
      <c r="O29" s="60">
        <f>O53</f>
        <v/>
      </c>
      <c r="P29" s="60">
        <f>P53</f>
        <v/>
      </c>
      <c r="Q29" s="60">
        <f>Q53</f>
        <v/>
      </c>
      <c r="R29" s="60">
        <f>R53</f>
        <v/>
      </c>
      <c r="S29" s="60">
        <f>S53</f>
        <v/>
      </c>
      <c r="T29" s="60">
        <f>T53</f>
        <v/>
      </c>
      <c r="U29" s="60">
        <f>U53</f>
        <v/>
      </c>
      <c r="V29" s="60">
        <f>V53</f>
        <v/>
      </c>
      <c r="W29" s="60">
        <f>W53</f>
        <v/>
      </c>
      <c r="X29" s="60">
        <f>X53</f>
        <v/>
      </c>
      <c r="Y29" s="60">
        <f>Y53</f>
        <v/>
      </c>
      <c r="Z29" s="60">
        <f>Z53</f>
        <v/>
      </c>
      <c r="AA29" s="60">
        <f>AA53</f>
        <v/>
      </c>
      <c r="AB29" s="60">
        <f>AB53</f>
        <v/>
      </c>
      <c r="AC29" s="60">
        <f>AC53</f>
        <v/>
      </c>
      <c r="AD29" s="60">
        <f>AD53</f>
        <v/>
      </c>
      <c r="AE29" s="60">
        <f>AE53</f>
        <v/>
      </c>
      <c r="AF29" s="60">
        <f>AF53</f>
        <v/>
      </c>
      <c r="AG29" s="60">
        <f>AG53</f>
        <v/>
      </c>
      <c r="AH29" s="60">
        <f>AH53</f>
        <v/>
      </c>
      <c r="AI29" s="60">
        <f>AI53</f>
        <v/>
      </c>
      <c r="AJ29" s="60">
        <f>AJ53</f>
        <v/>
      </c>
      <c r="AK29" s="60">
        <f>AK53</f>
        <v/>
      </c>
      <c r="AL29" s="60">
        <f>AL53</f>
        <v/>
      </c>
      <c r="AM29" s="60">
        <f>SUM(C29:N29)</f>
        <v/>
      </c>
      <c r="AN29" s="60">
        <f>SUM(O29:Z29)</f>
        <v/>
      </c>
      <c r="AO29" s="60">
        <f>SUM(AA29:AL29)</f>
        <v/>
      </c>
      <c r="AP29" s="60">
        <f>SUM(AM29:AO29)</f>
        <v/>
      </c>
    </row>
    <row r="30">
      <c r="A30" s="6" t="inlineStr">
        <is>
          <t>EBT</t>
        </is>
      </c>
      <c r="B30" s="24" t="inlineStr">
        <is>
          <t>€</t>
        </is>
      </c>
      <c r="C30" s="59">
        <f>C28-C29</f>
        <v/>
      </c>
      <c r="D30" s="59">
        <f>D28-D29</f>
        <v/>
      </c>
      <c r="E30" s="59">
        <f>E28-E29</f>
        <v/>
      </c>
      <c r="F30" s="59">
        <f>F28-F29</f>
        <v/>
      </c>
      <c r="G30" s="59">
        <f>G28-G29</f>
        <v/>
      </c>
      <c r="H30" s="59">
        <f>H28-H29</f>
        <v/>
      </c>
      <c r="I30" s="59">
        <f>I28-I29</f>
        <v/>
      </c>
      <c r="J30" s="59">
        <f>J28-J29</f>
        <v/>
      </c>
      <c r="K30" s="59">
        <f>K28-K29</f>
        <v/>
      </c>
      <c r="L30" s="59">
        <f>L28-L29</f>
        <v/>
      </c>
      <c r="M30" s="59">
        <f>M28-M29</f>
        <v/>
      </c>
      <c r="N30" s="59">
        <f>N28-N29</f>
        <v/>
      </c>
      <c r="O30" s="59">
        <f>O28-O29</f>
        <v/>
      </c>
      <c r="P30" s="59">
        <f>P28-P29</f>
        <v/>
      </c>
      <c r="Q30" s="59">
        <f>Q28-Q29</f>
        <v/>
      </c>
      <c r="R30" s="59">
        <f>R28-R29</f>
        <v/>
      </c>
      <c r="S30" s="59">
        <f>S28-S29</f>
        <v/>
      </c>
      <c r="T30" s="59">
        <f>T28-T29</f>
        <v/>
      </c>
      <c r="U30" s="59">
        <f>U28-U29</f>
        <v/>
      </c>
      <c r="V30" s="59">
        <f>V28-V29</f>
        <v/>
      </c>
      <c r="W30" s="59">
        <f>W28-W29</f>
        <v/>
      </c>
      <c r="X30" s="59">
        <f>X28-X29</f>
        <v/>
      </c>
      <c r="Y30" s="59">
        <f>Y28-Y29</f>
        <v/>
      </c>
      <c r="Z30" s="59">
        <f>Z28-Z29</f>
        <v/>
      </c>
      <c r="AA30" s="59">
        <f>AA28-AA29</f>
        <v/>
      </c>
      <c r="AB30" s="59">
        <f>AB28-AB29</f>
        <v/>
      </c>
      <c r="AC30" s="59">
        <f>AC28-AC29</f>
        <v/>
      </c>
      <c r="AD30" s="59">
        <f>AD28-AD29</f>
        <v/>
      </c>
      <c r="AE30" s="59">
        <f>AE28-AE29</f>
        <v/>
      </c>
      <c r="AF30" s="59">
        <f>AF28-AF29</f>
        <v/>
      </c>
      <c r="AG30" s="59">
        <f>AG28-AG29</f>
        <v/>
      </c>
      <c r="AH30" s="59">
        <f>AH28-AH29</f>
        <v/>
      </c>
      <c r="AI30" s="59">
        <f>AI28-AI29</f>
        <v/>
      </c>
      <c r="AJ30" s="59">
        <f>AJ28-AJ29</f>
        <v/>
      </c>
      <c r="AK30" s="59">
        <f>AK28-AK29</f>
        <v/>
      </c>
      <c r="AL30" s="59">
        <f>AL28-AL29</f>
        <v/>
      </c>
      <c r="AM30" s="59">
        <f>SUM(C30:N30)</f>
        <v/>
      </c>
      <c r="AN30" s="59">
        <f>SUM(O30:Z30)</f>
        <v/>
      </c>
      <c r="AO30" s="59">
        <f>SUM(AA30:AL30)</f>
        <v/>
      </c>
      <c r="AP30" s="59">
        <f>SUM(AM30:AO30)</f>
        <v/>
      </c>
    </row>
    <row r="31">
      <c r="A31" s="6" t="inlineStr">
        <is>
          <t>Impuestos</t>
        </is>
      </c>
      <c r="B31" s="24" t="inlineStr">
        <is>
          <t>€</t>
        </is>
      </c>
      <c r="C31" s="60">
        <f>IF(C7=1,$B$63/12,IF(C7=2,$C$63/12,$D$63/12))</f>
        <v/>
      </c>
      <c r="D31" s="60">
        <f>IF(D7=1,$B$63/12,IF(D7=2,$C$63/12,$D$63/12))</f>
        <v/>
      </c>
      <c r="E31" s="60">
        <f>IF(E7=1,$B$63/12,IF(E7=2,$C$63/12,$D$63/12))</f>
        <v/>
      </c>
      <c r="F31" s="60">
        <f>IF(F7=1,$B$63/12,IF(F7=2,$C$63/12,$D$63/12))</f>
        <v/>
      </c>
      <c r="G31" s="60">
        <f>IF(G7=1,$B$63/12,IF(G7=2,$C$63/12,$D$63/12))</f>
        <v/>
      </c>
      <c r="H31" s="60">
        <f>IF(H7=1,$B$63/12,IF(H7=2,$C$63/12,$D$63/12))</f>
        <v/>
      </c>
      <c r="I31" s="60">
        <f>IF(I7=1,$B$63/12,IF(I7=2,$C$63/12,$D$63/12))</f>
        <v/>
      </c>
      <c r="J31" s="60">
        <f>IF(J7=1,$B$63/12,IF(J7=2,$C$63/12,$D$63/12))</f>
        <v/>
      </c>
      <c r="K31" s="60">
        <f>IF(K7=1,$B$63/12,IF(K7=2,$C$63/12,$D$63/12))</f>
        <v/>
      </c>
      <c r="L31" s="60">
        <f>IF(L7=1,$B$63/12,IF(L7=2,$C$63/12,$D$63/12))</f>
        <v/>
      </c>
      <c r="M31" s="60">
        <f>IF(M7=1,$B$63/12,IF(M7=2,$C$63/12,$D$63/12))</f>
        <v/>
      </c>
      <c r="N31" s="60">
        <f>IF(N7=1,$B$63/12,IF(N7=2,$C$63/12,$D$63/12))</f>
        <v/>
      </c>
      <c r="O31" s="60">
        <f>IF(O7=1,$B$63/12,IF(O7=2,$C$63/12,$D$63/12))</f>
        <v/>
      </c>
      <c r="P31" s="60">
        <f>IF(P7=1,$B$63/12,IF(P7=2,$C$63/12,$D$63/12))</f>
        <v/>
      </c>
      <c r="Q31" s="60">
        <f>IF(Q7=1,$B$63/12,IF(Q7=2,$C$63/12,$D$63/12))</f>
        <v/>
      </c>
      <c r="R31" s="60">
        <f>IF(R7=1,$B$63/12,IF(R7=2,$C$63/12,$D$63/12))</f>
        <v/>
      </c>
      <c r="S31" s="60">
        <f>IF(S7=1,$B$63/12,IF(S7=2,$C$63/12,$D$63/12))</f>
        <v/>
      </c>
      <c r="T31" s="60">
        <f>IF(T7=1,$B$63/12,IF(T7=2,$C$63/12,$D$63/12))</f>
        <v/>
      </c>
      <c r="U31" s="60">
        <f>IF(U7=1,$B$63/12,IF(U7=2,$C$63/12,$D$63/12))</f>
        <v/>
      </c>
      <c r="V31" s="60">
        <f>IF(V7=1,$B$63/12,IF(V7=2,$C$63/12,$D$63/12))</f>
        <v/>
      </c>
      <c r="W31" s="60">
        <f>IF(W7=1,$B$63/12,IF(W7=2,$C$63/12,$D$63/12))</f>
        <v/>
      </c>
      <c r="X31" s="60">
        <f>IF(X7=1,$B$63/12,IF(X7=2,$C$63/12,$D$63/12))</f>
        <v/>
      </c>
      <c r="Y31" s="60">
        <f>IF(Y7=1,$B$63/12,IF(Y7=2,$C$63/12,$D$63/12))</f>
        <v/>
      </c>
      <c r="Z31" s="60">
        <f>IF(Z7=1,$B$63/12,IF(Z7=2,$C$63/12,$D$63/12))</f>
        <v/>
      </c>
      <c r="AA31" s="60">
        <f>IF(AA7=1,$B$63/12,IF(AA7=2,$C$63/12,$D$63/12))</f>
        <v/>
      </c>
      <c r="AB31" s="60">
        <f>IF(AB7=1,$B$63/12,IF(AB7=2,$C$63/12,$D$63/12))</f>
        <v/>
      </c>
      <c r="AC31" s="60">
        <f>IF(AC7=1,$B$63/12,IF(AC7=2,$C$63/12,$D$63/12))</f>
        <v/>
      </c>
      <c r="AD31" s="60">
        <f>IF(AD7=1,$B$63/12,IF(AD7=2,$C$63/12,$D$63/12))</f>
        <v/>
      </c>
      <c r="AE31" s="60">
        <f>IF(AE7=1,$B$63/12,IF(AE7=2,$C$63/12,$D$63/12))</f>
        <v/>
      </c>
      <c r="AF31" s="60">
        <f>IF(AF7=1,$B$63/12,IF(AF7=2,$C$63/12,$D$63/12))</f>
        <v/>
      </c>
      <c r="AG31" s="60">
        <f>IF(AG7=1,$B$63/12,IF(AG7=2,$C$63/12,$D$63/12))</f>
        <v/>
      </c>
      <c r="AH31" s="60">
        <f>IF(AH7=1,$B$63/12,IF(AH7=2,$C$63/12,$D$63/12))</f>
        <v/>
      </c>
      <c r="AI31" s="60">
        <f>IF(AI7=1,$B$63/12,IF(AI7=2,$C$63/12,$D$63/12))</f>
        <v/>
      </c>
      <c r="AJ31" s="60">
        <f>IF(AJ7=1,$B$63/12,IF(AJ7=2,$C$63/12,$D$63/12))</f>
        <v/>
      </c>
      <c r="AK31" s="60">
        <f>IF(AK7=1,$B$63/12,IF(AK7=2,$C$63/12,$D$63/12))</f>
        <v/>
      </c>
      <c r="AL31" s="60">
        <f>IF(AL7=1,$B$63/12,IF(AL7=2,$C$63/12,$D$63/12))</f>
        <v/>
      </c>
      <c r="AM31" s="60">
        <f>SUM(C31:N31)</f>
        <v/>
      </c>
      <c r="AN31" s="60">
        <f>SUM(O31:Z31)</f>
        <v/>
      </c>
      <c r="AO31" s="60">
        <f>SUM(AA31:AL31)</f>
        <v/>
      </c>
      <c r="AP31" s="60">
        <f>SUM(AM31:AO31)</f>
        <v/>
      </c>
    </row>
    <row r="32">
      <c r="A32" s="6" t="inlineStr">
        <is>
          <t>Beneficio neto</t>
        </is>
      </c>
      <c r="B32" s="24" t="inlineStr">
        <is>
          <t>€</t>
        </is>
      </c>
      <c r="C32" s="59">
        <f>C30-C31</f>
        <v/>
      </c>
      <c r="D32" s="59">
        <f>D30-D31</f>
        <v/>
      </c>
      <c r="E32" s="59">
        <f>E30-E31</f>
        <v/>
      </c>
      <c r="F32" s="59">
        <f>F30-F31</f>
        <v/>
      </c>
      <c r="G32" s="59">
        <f>G30-G31</f>
        <v/>
      </c>
      <c r="H32" s="59">
        <f>H30-H31</f>
        <v/>
      </c>
      <c r="I32" s="59">
        <f>I30-I31</f>
        <v/>
      </c>
      <c r="J32" s="59">
        <f>J30-J31</f>
        <v/>
      </c>
      <c r="K32" s="59">
        <f>K30-K31</f>
        <v/>
      </c>
      <c r="L32" s="59">
        <f>L30-L31</f>
        <v/>
      </c>
      <c r="M32" s="59">
        <f>M30-M31</f>
        <v/>
      </c>
      <c r="N32" s="59">
        <f>N30-N31</f>
        <v/>
      </c>
      <c r="O32" s="59">
        <f>O30-O31</f>
        <v/>
      </c>
      <c r="P32" s="59">
        <f>P30-P31</f>
        <v/>
      </c>
      <c r="Q32" s="59">
        <f>Q30-Q31</f>
        <v/>
      </c>
      <c r="R32" s="59">
        <f>R30-R31</f>
        <v/>
      </c>
      <c r="S32" s="59">
        <f>S30-S31</f>
        <v/>
      </c>
      <c r="T32" s="59">
        <f>T30-T31</f>
        <v/>
      </c>
      <c r="U32" s="59">
        <f>U30-U31</f>
        <v/>
      </c>
      <c r="V32" s="59">
        <f>V30-V31</f>
        <v/>
      </c>
      <c r="W32" s="59">
        <f>W30-W31</f>
        <v/>
      </c>
      <c r="X32" s="59">
        <f>X30-X31</f>
        <v/>
      </c>
      <c r="Y32" s="59">
        <f>Y30-Y31</f>
        <v/>
      </c>
      <c r="Z32" s="59">
        <f>Z30-Z31</f>
        <v/>
      </c>
      <c r="AA32" s="59">
        <f>AA30-AA31</f>
        <v/>
      </c>
      <c r="AB32" s="59">
        <f>AB30-AB31</f>
        <v/>
      </c>
      <c r="AC32" s="59">
        <f>AC30-AC31</f>
        <v/>
      </c>
      <c r="AD32" s="59">
        <f>AD30-AD31</f>
        <v/>
      </c>
      <c r="AE32" s="59">
        <f>AE30-AE31</f>
        <v/>
      </c>
      <c r="AF32" s="59">
        <f>AF30-AF31</f>
        <v/>
      </c>
      <c r="AG32" s="59">
        <f>AG30-AG31</f>
        <v/>
      </c>
      <c r="AH32" s="59">
        <f>AH30-AH31</f>
        <v/>
      </c>
      <c r="AI32" s="59">
        <f>AI30-AI31</f>
        <v/>
      </c>
      <c r="AJ32" s="59">
        <f>AJ30-AJ31</f>
        <v/>
      </c>
      <c r="AK32" s="59">
        <f>AK30-AK31</f>
        <v/>
      </c>
      <c r="AL32" s="59">
        <f>AL30-AL31</f>
        <v/>
      </c>
      <c r="AM32" s="59">
        <f>SUM(C32:N32)</f>
        <v/>
      </c>
      <c r="AN32" s="59">
        <f>SUM(O32:Z32)</f>
        <v/>
      </c>
      <c r="AO32" s="59">
        <f>SUM(AA32:AL32)</f>
        <v/>
      </c>
      <c r="AP32" s="59">
        <f>SUM(AM32:AO32)</f>
        <v/>
      </c>
    </row>
    <row r="33">
      <c r="A33" s="6" t="inlineStr">
        <is>
          <t>Margen bruto %</t>
        </is>
      </c>
      <c r="B33" s="24" t="inlineStr">
        <is>
          <t>%</t>
        </is>
      </c>
      <c r="C33" s="34">
        <f>IFERROR(C17/C15,0)</f>
        <v/>
      </c>
      <c r="D33" s="34">
        <f>IFERROR(D17/D15,0)</f>
        <v/>
      </c>
      <c r="E33" s="34">
        <f>IFERROR(E17/E15,0)</f>
        <v/>
      </c>
      <c r="F33" s="34">
        <f>IFERROR(F17/F15,0)</f>
        <v/>
      </c>
      <c r="G33" s="34">
        <f>IFERROR(G17/G15,0)</f>
        <v/>
      </c>
      <c r="H33" s="34">
        <f>IFERROR(H17/H15,0)</f>
        <v/>
      </c>
      <c r="I33" s="34">
        <f>IFERROR(I17/I15,0)</f>
        <v/>
      </c>
      <c r="J33" s="34">
        <f>IFERROR(J17/J15,0)</f>
        <v/>
      </c>
      <c r="K33" s="34">
        <f>IFERROR(K17/K15,0)</f>
        <v/>
      </c>
      <c r="L33" s="34">
        <f>IFERROR(L17/L15,0)</f>
        <v/>
      </c>
      <c r="M33" s="34">
        <f>IFERROR(M17/M15,0)</f>
        <v/>
      </c>
      <c r="N33" s="34">
        <f>IFERROR(N17/N15,0)</f>
        <v/>
      </c>
      <c r="O33" s="34">
        <f>IFERROR(O17/O15,0)</f>
        <v/>
      </c>
      <c r="P33" s="34">
        <f>IFERROR(P17/P15,0)</f>
        <v/>
      </c>
      <c r="Q33" s="34">
        <f>IFERROR(Q17/Q15,0)</f>
        <v/>
      </c>
      <c r="R33" s="34">
        <f>IFERROR(R17/R15,0)</f>
        <v/>
      </c>
      <c r="S33" s="34">
        <f>IFERROR(S17/S15,0)</f>
        <v/>
      </c>
      <c r="T33" s="34">
        <f>IFERROR(T17/T15,0)</f>
        <v/>
      </c>
      <c r="U33" s="34">
        <f>IFERROR(U17/U15,0)</f>
        <v/>
      </c>
      <c r="V33" s="34">
        <f>IFERROR(V17/V15,0)</f>
        <v/>
      </c>
      <c r="W33" s="34">
        <f>IFERROR(W17/W15,0)</f>
        <v/>
      </c>
      <c r="X33" s="34">
        <f>IFERROR(X17/X15,0)</f>
        <v/>
      </c>
      <c r="Y33" s="34">
        <f>IFERROR(Y17/Y15,0)</f>
        <v/>
      </c>
      <c r="Z33" s="34">
        <f>IFERROR(Z17/Z15,0)</f>
        <v/>
      </c>
      <c r="AA33" s="34">
        <f>IFERROR(AA17/AA15,0)</f>
        <v/>
      </c>
      <c r="AB33" s="34">
        <f>IFERROR(AB17/AB15,0)</f>
        <v/>
      </c>
      <c r="AC33" s="34">
        <f>IFERROR(AC17/AC15,0)</f>
        <v/>
      </c>
      <c r="AD33" s="34">
        <f>IFERROR(AD17/AD15,0)</f>
        <v/>
      </c>
      <c r="AE33" s="34">
        <f>IFERROR(AE17/AE15,0)</f>
        <v/>
      </c>
      <c r="AF33" s="34">
        <f>IFERROR(AF17/AF15,0)</f>
        <v/>
      </c>
      <c r="AG33" s="34">
        <f>IFERROR(AG17/AG15,0)</f>
        <v/>
      </c>
      <c r="AH33" s="34">
        <f>IFERROR(AH17/AH15,0)</f>
        <v/>
      </c>
      <c r="AI33" s="34">
        <f>IFERROR(AI17/AI15,0)</f>
        <v/>
      </c>
      <c r="AJ33" s="34">
        <f>IFERROR(AJ17/AJ15,0)</f>
        <v/>
      </c>
      <c r="AK33" s="34">
        <f>IFERROR(AK17/AK15,0)</f>
        <v/>
      </c>
      <c r="AL33" s="34">
        <f>IFERROR(AL17/AL15,0)</f>
        <v/>
      </c>
      <c r="AM33" s="34">
        <f>IFERROR(AM17/AM15,0)</f>
        <v/>
      </c>
      <c r="AN33" s="34">
        <f>IFERROR(AN17/AN15,0)</f>
        <v/>
      </c>
      <c r="AO33" s="34">
        <f>IFERROR(AO17/AO15,0)</f>
        <v/>
      </c>
      <c r="AP33" s="34">
        <f>IFERROR(AP17/AP15,0)</f>
        <v/>
      </c>
    </row>
    <row r="34">
      <c r="A34" s="6" t="inlineStr">
        <is>
          <t>Margen EBITDA %</t>
        </is>
      </c>
      <c r="B34" s="24" t="inlineStr">
        <is>
          <t>%</t>
        </is>
      </c>
      <c r="C34" s="34">
        <f>IFERROR(C26/C15,0)</f>
        <v/>
      </c>
      <c r="D34" s="34">
        <f>IFERROR(D26/D15,0)</f>
        <v/>
      </c>
      <c r="E34" s="34">
        <f>IFERROR(E26/E15,0)</f>
        <v/>
      </c>
      <c r="F34" s="34">
        <f>IFERROR(F26/F15,0)</f>
        <v/>
      </c>
      <c r="G34" s="34">
        <f>IFERROR(G26/G15,0)</f>
        <v/>
      </c>
      <c r="H34" s="34">
        <f>IFERROR(H26/H15,0)</f>
        <v/>
      </c>
      <c r="I34" s="34">
        <f>IFERROR(I26/I15,0)</f>
        <v/>
      </c>
      <c r="J34" s="34">
        <f>IFERROR(J26/J15,0)</f>
        <v/>
      </c>
      <c r="K34" s="34">
        <f>IFERROR(K26/K15,0)</f>
        <v/>
      </c>
      <c r="L34" s="34">
        <f>IFERROR(L26/L15,0)</f>
        <v/>
      </c>
      <c r="M34" s="34">
        <f>IFERROR(M26/M15,0)</f>
        <v/>
      </c>
      <c r="N34" s="34">
        <f>IFERROR(N26/N15,0)</f>
        <v/>
      </c>
      <c r="O34" s="34">
        <f>IFERROR(O26/O15,0)</f>
        <v/>
      </c>
      <c r="P34" s="34">
        <f>IFERROR(P26/P15,0)</f>
        <v/>
      </c>
      <c r="Q34" s="34">
        <f>IFERROR(Q26/Q15,0)</f>
        <v/>
      </c>
      <c r="R34" s="34">
        <f>IFERROR(R26/R15,0)</f>
        <v/>
      </c>
      <c r="S34" s="34">
        <f>IFERROR(S26/S15,0)</f>
        <v/>
      </c>
      <c r="T34" s="34">
        <f>IFERROR(T26/T15,0)</f>
        <v/>
      </c>
      <c r="U34" s="34">
        <f>IFERROR(U26/U15,0)</f>
        <v/>
      </c>
      <c r="V34" s="34">
        <f>IFERROR(V26/V15,0)</f>
        <v/>
      </c>
      <c r="W34" s="34">
        <f>IFERROR(W26/W15,0)</f>
        <v/>
      </c>
      <c r="X34" s="34">
        <f>IFERROR(X26/X15,0)</f>
        <v/>
      </c>
      <c r="Y34" s="34">
        <f>IFERROR(Y26/Y15,0)</f>
        <v/>
      </c>
      <c r="Z34" s="34">
        <f>IFERROR(Z26/Z15,0)</f>
        <v/>
      </c>
      <c r="AA34" s="34">
        <f>IFERROR(AA26/AA15,0)</f>
        <v/>
      </c>
      <c r="AB34" s="34">
        <f>IFERROR(AB26/AB15,0)</f>
        <v/>
      </c>
      <c r="AC34" s="34">
        <f>IFERROR(AC26/AC15,0)</f>
        <v/>
      </c>
      <c r="AD34" s="34">
        <f>IFERROR(AD26/AD15,0)</f>
        <v/>
      </c>
      <c r="AE34" s="34">
        <f>IFERROR(AE26/AE15,0)</f>
        <v/>
      </c>
      <c r="AF34" s="34">
        <f>IFERROR(AF26/AF15,0)</f>
        <v/>
      </c>
      <c r="AG34" s="34">
        <f>IFERROR(AG26/AG15,0)</f>
        <v/>
      </c>
      <c r="AH34" s="34">
        <f>IFERROR(AH26/AH15,0)</f>
        <v/>
      </c>
      <c r="AI34" s="34">
        <f>IFERROR(AI26/AI15,0)</f>
        <v/>
      </c>
      <c r="AJ34" s="34">
        <f>IFERROR(AJ26/AJ15,0)</f>
        <v/>
      </c>
      <c r="AK34" s="34">
        <f>IFERROR(AK26/AK15,0)</f>
        <v/>
      </c>
      <c r="AL34" s="34">
        <f>IFERROR(AL26/AL15,0)</f>
        <v/>
      </c>
      <c r="AM34" s="34">
        <f>IFERROR(AM26/AM15,0)</f>
        <v/>
      </c>
      <c r="AN34" s="34">
        <f>IFERROR(AN26/AN15,0)</f>
        <v/>
      </c>
      <c r="AO34" s="34">
        <f>IFERROR(AO26/AO15,0)</f>
        <v/>
      </c>
      <c r="AP34" s="34">
        <f>IFERROR(AP26/AP15,0)</f>
        <v/>
      </c>
    </row>
    <row r="35">
      <c r="A35" s="6" t="inlineStr">
        <is>
          <t>Margen neto %</t>
        </is>
      </c>
      <c r="B35" s="24" t="inlineStr">
        <is>
          <t>%</t>
        </is>
      </c>
      <c r="C35" s="34">
        <f>IFERROR(C32/C15,0)</f>
        <v/>
      </c>
      <c r="D35" s="34">
        <f>IFERROR(D32/D15,0)</f>
        <v/>
      </c>
      <c r="E35" s="34">
        <f>IFERROR(E32/E15,0)</f>
        <v/>
      </c>
      <c r="F35" s="34">
        <f>IFERROR(F32/F15,0)</f>
        <v/>
      </c>
      <c r="G35" s="34">
        <f>IFERROR(G32/G15,0)</f>
        <v/>
      </c>
      <c r="H35" s="34">
        <f>IFERROR(H32/H15,0)</f>
        <v/>
      </c>
      <c r="I35" s="34">
        <f>IFERROR(I32/I15,0)</f>
        <v/>
      </c>
      <c r="J35" s="34">
        <f>IFERROR(J32/J15,0)</f>
        <v/>
      </c>
      <c r="K35" s="34">
        <f>IFERROR(K32/K15,0)</f>
        <v/>
      </c>
      <c r="L35" s="34">
        <f>IFERROR(L32/L15,0)</f>
        <v/>
      </c>
      <c r="M35" s="34">
        <f>IFERROR(M32/M15,0)</f>
        <v/>
      </c>
      <c r="N35" s="34">
        <f>IFERROR(N32/N15,0)</f>
        <v/>
      </c>
      <c r="O35" s="34">
        <f>IFERROR(O32/O15,0)</f>
        <v/>
      </c>
      <c r="P35" s="34">
        <f>IFERROR(P32/P15,0)</f>
        <v/>
      </c>
      <c r="Q35" s="34">
        <f>IFERROR(Q32/Q15,0)</f>
        <v/>
      </c>
      <c r="R35" s="34">
        <f>IFERROR(R32/R15,0)</f>
        <v/>
      </c>
      <c r="S35" s="34">
        <f>IFERROR(S32/S15,0)</f>
        <v/>
      </c>
      <c r="T35" s="34">
        <f>IFERROR(T32/T15,0)</f>
        <v/>
      </c>
      <c r="U35" s="34">
        <f>IFERROR(U32/U15,0)</f>
        <v/>
      </c>
      <c r="V35" s="34">
        <f>IFERROR(V32/V15,0)</f>
        <v/>
      </c>
      <c r="W35" s="34">
        <f>IFERROR(W32/W15,0)</f>
        <v/>
      </c>
      <c r="X35" s="34">
        <f>IFERROR(X32/X15,0)</f>
        <v/>
      </c>
      <c r="Y35" s="34">
        <f>IFERROR(Y32/Y15,0)</f>
        <v/>
      </c>
      <c r="Z35" s="34">
        <f>IFERROR(Z32/Z15,0)</f>
        <v/>
      </c>
      <c r="AA35" s="34">
        <f>IFERROR(AA32/AA15,0)</f>
        <v/>
      </c>
      <c r="AB35" s="34">
        <f>IFERROR(AB32/AB15,0)</f>
        <v/>
      </c>
      <c r="AC35" s="34">
        <f>IFERROR(AC32/AC15,0)</f>
        <v/>
      </c>
      <c r="AD35" s="34">
        <f>IFERROR(AD32/AD15,0)</f>
        <v/>
      </c>
      <c r="AE35" s="34">
        <f>IFERROR(AE32/AE15,0)</f>
        <v/>
      </c>
      <c r="AF35" s="34">
        <f>IFERROR(AF32/AF15,0)</f>
        <v/>
      </c>
      <c r="AG35" s="34">
        <f>IFERROR(AG32/AG15,0)</f>
        <v/>
      </c>
      <c r="AH35" s="34">
        <f>IFERROR(AH32/AH15,0)</f>
        <v/>
      </c>
      <c r="AI35" s="34">
        <f>IFERROR(AI32/AI15,0)</f>
        <v/>
      </c>
      <c r="AJ35" s="34">
        <f>IFERROR(AJ32/AJ15,0)</f>
        <v/>
      </c>
      <c r="AK35" s="34">
        <f>IFERROR(AK32/AK15,0)</f>
        <v/>
      </c>
      <c r="AL35" s="34">
        <f>IFERROR(AL32/AL15,0)</f>
        <v/>
      </c>
      <c r="AM35" s="34">
        <f>IFERROR(AM32/AM15,0)</f>
        <v/>
      </c>
      <c r="AN35" s="34">
        <f>IFERROR(AN32/AN15,0)</f>
        <v/>
      </c>
      <c r="AO35" s="34">
        <f>IFERROR(AO32/AO15,0)</f>
        <v/>
      </c>
      <c r="AP35" s="34">
        <f>IFERROR(AP32/AP15,0)</f>
        <v/>
      </c>
    </row>
    <row r="36">
      <c r="A36" s="6" t="inlineStr">
        <is>
          <t>Check P&amp;L (debe ser 0)</t>
        </is>
      </c>
      <c r="B36" s="24" t="inlineStr">
        <is>
          <t>€</t>
        </is>
      </c>
      <c r="C36" s="37">
        <f>C17-C25-C26</f>
        <v/>
      </c>
      <c r="D36" s="37">
        <f>D17-D25-D26</f>
        <v/>
      </c>
      <c r="E36" s="37">
        <f>E17-E25-E26</f>
        <v/>
      </c>
      <c r="F36" s="37">
        <f>F17-F25-F26</f>
        <v/>
      </c>
      <c r="G36" s="37">
        <f>G17-G25-G26</f>
        <v/>
      </c>
      <c r="H36" s="37">
        <f>H17-H25-H26</f>
        <v/>
      </c>
      <c r="I36" s="37">
        <f>I17-I25-I26</f>
        <v/>
      </c>
      <c r="J36" s="37">
        <f>J17-J25-J26</f>
        <v/>
      </c>
      <c r="K36" s="37">
        <f>K17-K25-K26</f>
        <v/>
      </c>
      <c r="L36" s="37">
        <f>L17-L25-L26</f>
        <v/>
      </c>
      <c r="M36" s="37">
        <f>M17-M25-M26</f>
        <v/>
      </c>
      <c r="N36" s="37">
        <f>N17-N25-N26</f>
        <v/>
      </c>
      <c r="O36" s="37">
        <f>O17-O25-O26</f>
        <v/>
      </c>
      <c r="P36" s="37">
        <f>P17-P25-P26</f>
        <v/>
      </c>
      <c r="Q36" s="37">
        <f>Q17-Q25-Q26</f>
        <v/>
      </c>
      <c r="R36" s="37">
        <f>R17-R25-R26</f>
        <v/>
      </c>
      <c r="S36" s="37">
        <f>S17-S25-S26</f>
        <v/>
      </c>
      <c r="T36" s="37">
        <f>T17-T25-T26</f>
        <v/>
      </c>
      <c r="U36" s="37">
        <f>U17-U25-U26</f>
        <v/>
      </c>
      <c r="V36" s="37">
        <f>V17-V25-V26</f>
        <v/>
      </c>
      <c r="W36" s="37">
        <f>W17-W25-W26</f>
        <v/>
      </c>
      <c r="X36" s="37">
        <f>X17-X25-X26</f>
        <v/>
      </c>
      <c r="Y36" s="37">
        <f>Y17-Y25-Y26</f>
        <v/>
      </c>
      <c r="Z36" s="37">
        <f>Z17-Z25-Z26</f>
        <v/>
      </c>
      <c r="AA36" s="37">
        <f>AA17-AA25-AA26</f>
        <v/>
      </c>
      <c r="AB36" s="37">
        <f>AB17-AB25-AB26</f>
        <v/>
      </c>
      <c r="AC36" s="37">
        <f>AC17-AC25-AC26</f>
        <v/>
      </c>
      <c r="AD36" s="37">
        <f>AD17-AD25-AD26</f>
        <v/>
      </c>
      <c r="AE36" s="37">
        <f>AE17-AE25-AE26</f>
        <v/>
      </c>
      <c r="AF36" s="37">
        <f>AF17-AF25-AF26</f>
        <v/>
      </c>
      <c r="AG36" s="37">
        <f>AG17-AG25-AG26</f>
        <v/>
      </c>
      <c r="AH36" s="37">
        <f>AH17-AH25-AH26</f>
        <v/>
      </c>
      <c r="AI36" s="37">
        <f>AI17-AI25-AI26</f>
        <v/>
      </c>
      <c r="AJ36" s="37">
        <f>AJ17-AJ25-AJ26</f>
        <v/>
      </c>
      <c r="AK36" s="37">
        <f>AK17-AK25-AK26</f>
        <v/>
      </c>
      <c r="AL36" s="37">
        <f>AL17-AL25-AL26</f>
        <v/>
      </c>
      <c r="AM36" s="37">
        <f>AM17-AM25-AM26</f>
        <v/>
      </c>
      <c r="AN36" s="37">
        <f>AN17-AN25-AN26</f>
        <v/>
      </c>
      <c r="AO36" s="37">
        <f>AO17-AO25-AO26</f>
        <v/>
      </c>
      <c r="AP36" s="37">
        <f>SUM(AM36:AO36)</f>
        <v/>
      </c>
    </row>
    <row r="37" ht="20" customHeight="1">
      <c r="A37" s="16" t="inlineStr">
        <is>
          <t>CAJA</t>
        </is>
      </c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</row>
    <row r="38">
      <c r="A38" s="6" t="inlineStr">
        <is>
          <t>Caja inicial</t>
        </is>
      </c>
      <c r="B38" s="24" t="inlineStr">
        <is>
          <t>€</t>
        </is>
      </c>
      <c r="C38" s="60">
        <f>OpeningCash</f>
        <v/>
      </c>
      <c r="D38" s="60">
        <f>C48</f>
        <v/>
      </c>
      <c r="E38" s="60">
        <f>D48</f>
        <v/>
      </c>
      <c r="F38" s="60">
        <f>E48</f>
        <v/>
      </c>
      <c r="G38" s="60">
        <f>F48</f>
        <v/>
      </c>
      <c r="H38" s="60">
        <f>G48</f>
        <v/>
      </c>
      <c r="I38" s="60">
        <f>H48</f>
        <v/>
      </c>
      <c r="J38" s="60">
        <f>I48</f>
        <v/>
      </c>
      <c r="K38" s="60">
        <f>J48</f>
        <v/>
      </c>
      <c r="L38" s="60">
        <f>K48</f>
        <v/>
      </c>
      <c r="M38" s="60">
        <f>L48</f>
        <v/>
      </c>
      <c r="N38" s="60">
        <f>M48</f>
        <v/>
      </c>
      <c r="O38" s="60">
        <f>N48</f>
        <v/>
      </c>
      <c r="P38" s="60">
        <f>O48</f>
        <v/>
      </c>
      <c r="Q38" s="60">
        <f>P48</f>
        <v/>
      </c>
      <c r="R38" s="60">
        <f>Q48</f>
        <v/>
      </c>
      <c r="S38" s="60">
        <f>R48</f>
        <v/>
      </c>
      <c r="T38" s="60">
        <f>S48</f>
        <v/>
      </c>
      <c r="U38" s="60">
        <f>T48</f>
        <v/>
      </c>
      <c r="V38" s="60">
        <f>U48</f>
        <v/>
      </c>
      <c r="W38" s="60">
        <f>V48</f>
        <v/>
      </c>
      <c r="X38" s="60">
        <f>W48</f>
        <v/>
      </c>
      <c r="Y38" s="60">
        <f>X48</f>
        <v/>
      </c>
      <c r="Z38" s="60">
        <f>Y48</f>
        <v/>
      </c>
      <c r="AA38" s="60">
        <f>Z48</f>
        <v/>
      </c>
      <c r="AB38" s="60">
        <f>AA48</f>
        <v/>
      </c>
      <c r="AC38" s="60">
        <f>AB48</f>
        <v/>
      </c>
      <c r="AD38" s="60">
        <f>AC48</f>
        <v/>
      </c>
      <c r="AE38" s="60">
        <f>AD48</f>
        <v/>
      </c>
      <c r="AF38" s="60">
        <f>AE48</f>
        <v/>
      </c>
      <c r="AG38" s="60">
        <f>AF48</f>
        <v/>
      </c>
      <c r="AH38" s="60">
        <f>AG48</f>
        <v/>
      </c>
      <c r="AI38" s="60">
        <f>AH48</f>
        <v/>
      </c>
      <c r="AJ38" s="60">
        <f>AI48</f>
        <v/>
      </c>
      <c r="AK38" s="60">
        <f>AJ48</f>
        <v/>
      </c>
      <c r="AL38" s="60">
        <f>AK48</f>
        <v/>
      </c>
      <c r="AM38" s="60">
        <f>N38</f>
        <v/>
      </c>
      <c r="AN38" s="60">
        <f>Z38</f>
        <v/>
      </c>
      <c r="AO38" s="60">
        <f>AL38</f>
        <v/>
      </c>
      <c r="AP38" s="60">
        <f>AO38</f>
        <v/>
      </c>
    </row>
    <row r="39">
      <c r="A39" s="6" t="inlineStr">
        <is>
          <t>Capital circulante</t>
        </is>
      </c>
      <c r="B39" s="24" t="inlineStr">
        <is>
          <t>€</t>
        </is>
      </c>
      <c r="C39" s="60">
        <f>C16*(InventoryDays-PayableDays)/365</f>
        <v/>
      </c>
      <c r="D39" s="60">
        <f>D16*(InventoryDays-PayableDays)/365</f>
        <v/>
      </c>
      <c r="E39" s="60">
        <f>E16*(InventoryDays-PayableDays)/365</f>
        <v/>
      </c>
      <c r="F39" s="60">
        <f>F16*(InventoryDays-PayableDays)/365</f>
        <v/>
      </c>
      <c r="G39" s="60">
        <f>G16*(InventoryDays-PayableDays)/365</f>
        <v/>
      </c>
      <c r="H39" s="60">
        <f>H16*(InventoryDays-PayableDays)/365</f>
        <v/>
      </c>
      <c r="I39" s="60">
        <f>I16*(InventoryDays-PayableDays)/365</f>
        <v/>
      </c>
      <c r="J39" s="60">
        <f>J16*(InventoryDays-PayableDays)/365</f>
        <v/>
      </c>
      <c r="K39" s="60">
        <f>K16*(InventoryDays-PayableDays)/365</f>
        <v/>
      </c>
      <c r="L39" s="60">
        <f>L16*(InventoryDays-PayableDays)/365</f>
        <v/>
      </c>
      <c r="M39" s="60">
        <f>M16*(InventoryDays-PayableDays)/365</f>
        <v/>
      </c>
      <c r="N39" s="60">
        <f>N16*(InventoryDays-PayableDays)/365</f>
        <v/>
      </c>
      <c r="O39" s="60">
        <f>O16*(InventoryDays-PayableDays)/365</f>
        <v/>
      </c>
      <c r="P39" s="60">
        <f>P16*(InventoryDays-PayableDays)/365</f>
        <v/>
      </c>
      <c r="Q39" s="60">
        <f>Q16*(InventoryDays-PayableDays)/365</f>
        <v/>
      </c>
      <c r="R39" s="60">
        <f>R16*(InventoryDays-PayableDays)/365</f>
        <v/>
      </c>
      <c r="S39" s="60">
        <f>S16*(InventoryDays-PayableDays)/365</f>
        <v/>
      </c>
      <c r="T39" s="60">
        <f>T16*(InventoryDays-PayableDays)/365</f>
        <v/>
      </c>
      <c r="U39" s="60">
        <f>U16*(InventoryDays-PayableDays)/365</f>
        <v/>
      </c>
      <c r="V39" s="60">
        <f>V16*(InventoryDays-PayableDays)/365</f>
        <v/>
      </c>
      <c r="W39" s="60">
        <f>W16*(InventoryDays-PayableDays)/365</f>
        <v/>
      </c>
      <c r="X39" s="60">
        <f>X16*(InventoryDays-PayableDays)/365</f>
        <v/>
      </c>
      <c r="Y39" s="60">
        <f>Y16*(InventoryDays-PayableDays)/365</f>
        <v/>
      </c>
      <c r="Z39" s="60">
        <f>Z16*(InventoryDays-PayableDays)/365</f>
        <v/>
      </c>
      <c r="AA39" s="60">
        <f>AA16*(InventoryDays-PayableDays)/365</f>
        <v/>
      </c>
      <c r="AB39" s="60">
        <f>AB16*(InventoryDays-PayableDays)/365</f>
        <v/>
      </c>
      <c r="AC39" s="60">
        <f>AC16*(InventoryDays-PayableDays)/365</f>
        <v/>
      </c>
      <c r="AD39" s="60">
        <f>AD16*(InventoryDays-PayableDays)/365</f>
        <v/>
      </c>
      <c r="AE39" s="60">
        <f>AE16*(InventoryDays-PayableDays)/365</f>
        <v/>
      </c>
      <c r="AF39" s="60">
        <f>AF16*(InventoryDays-PayableDays)/365</f>
        <v/>
      </c>
      <c r="AG39" s="60">
        <f>AG16*(InventoryDays-PayableDays)/365</f>
        <v/>
      </c>
      <c r="AH39" s="60">
        <f>AH16*(InventoryDays-PayableDays)/365</f>
        <v/>
      </c>
      <c r="AI39" s="60">
        <f>AI16*(InventoryDays-PayableDays)/365</f>
        <v/>
      </c>
      <c r="AJ39" s="60">
        <f>AJ16*(InventoryDays-PayableDays)/365</f>
        <v/>
      </c>
      <c r="AK39" s="60">
        <f>AK16*(InventoryDays-PayableDays)/365</f>
        <v/>
      </c>
      <c r="AL39" s="60">
        <f>AL16*(InventoryDays-PayableDays)/365</f>
        <v/>
      </c>
      <c r="AM39" s="60">
        <f>N39</f>
        <v/>
      </c>
      <c r="AN39" s="60">
        <f>Z39</f>
        <v/>
      </c>
      <c r="AO39" s="60">
        <f>AL39</f>
        <v/>
      </c>
      <c r="AP39" s="60">
        <f>AO39</f>
        <v/>
      </c>
    </row>
    <row r="40">
      <c r="A40" s="6" t="inlineStr">
        <is>
          <t>Δ capital circulante</t>
        </is>
      </c>
      <c r="B40" s="24" t="inlineStr">
        <is>
          <t>€</t>
        </is>
      </c>
      <c r="C40" s="60">
        <f>C39-WC0</f>
        <v/>
      </c>
      <c r="D40" s="60">
        <f>D39-C39</f>
        <v/>
      </c>
      <c r="E40" s="60">
        <f>E39-D39</f>
        <v/>
      </c>
      <c r="F40" s="60">
        <f>F39-E39</f>
        <v/>
      </c>
      <c r="G40" s="60">
        <f>G39-F39</f>
        <v/>
      </c>
      <c r="H40" s="60">
        <f>H39-G39</f>
        <v/>
      </c>
      <c r="I40" s="60">
        <f>I39-H39</f>
        <v/>
      </c>
      <c r="J40" s="60">
        <f>J39-I39</f>
        <v/>
      </c>
      <c r="K40" s="60">
        <f>K39-J39</f>
        <v/>
      </c>
      <c r="L40" s="60">
        <f>L39-K39</f>
        <v/>
      </c>
      <c r="M40" s="60">
        <f>M39-L39</f>
        <v/>
      </c>
      <c r="N40" s="60">
        <f>N39-M39</f>
        <v/>
      </c>
      <c r="O40" s="60">
        <f>O39-N39</f>
        <v/>
      </c>
      <c r="P40" s="60">
        <f>P39-O39</f>
        <v/>
      </c>
      <c r="Q40" s="60">
        <f>Q39-P39</f>
        <v/>
      </c>
      <c r="R40" s="60">
        <f>R39-Q39</f>
        <v/>
      </c>
      <c r="S40" s="60">
        <f>S39-R39</f>
        <v/>
      </c>
      <c r="T40" s="60">
        <f>T39-S39</f>
        <v/>
      </c>
      <c r="U40" s="60">
        <f>U39-T39</f>
        <v/>
      </c>
      <c r="V40" s="60">
        <f>V39-U39</f>
        <v/>
      </c>
      <c r="W40" s="60">
        <f>W39-V39</f>
        <v/>
      </c>
      <c r="X40" s="60">
        <f>X39-W39</f>
        <v/>
      </c>
      <c r="Y40" s="60">
        <f>Y39-X39</f>
        <v/>
      </c>
      <c r="Z40" s="60">
        <f>Z39-Y39</f>
        <v/>
      </c>
      <c r="AA40" s="60">
        <f>AA39-Z39</f>
        <v/>
      </c>
      <c r="AB40" s="60">
        <f>AB39-AA39</f>
        <v/>
      </c>
      <c r="AC40" s="60">
        <f>AC39-AB39</f>
        <v/>
      </c>
      <c r="AD40" s="60">
        <f>AD39-AC39</f>
        <v/>
      </c>
      <c r="AE40" s="60">
        <f>AE39-AD39</f>
        <v/>
      </c>
      <c r="AF40" s="60">
        <f>AF39-AE39</f>
        <v/>
      </c>
      <c r="AG40" s="60">
        <f>AG39-AF39</f>
        <v/>
      </c>
      <c r="AH40" s="60">
        <f>AH39-AG39</f>
        <v/>
      </c>
      <c r="AI40" s="60">
        <f>AI39-AH39</f>
        <v/>
      </c>
      <c r="AJ40" s="60">
        <f>AJ39-AI39</f>
        <v/>
      </c>
      <c r="AK40" s="60">
        <f>AK39-AJ39</f>
        <v/>
      </c>
      <c r="AL40" s="60">
        <f>AL39-AK39</f>
        <v/>
      </c>
      <c r="AM40" s="60">
        <f>SUM(C40:N40)</f>
        <v/>
      </c>
      <c r="AN40" s="60">
        <f>SUM(O40:Z40)</f>
        <v/>
      </c>
      <c r="AO40" s="60">
        <f>SUM(AA40:AL40)</f>
        <v/>
      </c>
      <c r="AP40" s="60">
        <f>SUM(AM40:AO40)</f>
        <v/>
      </c>
    </row>
    <row r="41">
      <c r="A41" s="6" t="inlineStr">
        <is>
          <t>Capex de mantenimiento</t>
        </is>
      </c>
      <c r="B41" s="24" t="inlineStr">
        <is>
          <t>€</t>
        </is>
      </c>
      <c r="C41" s="60">
        <f>C15*MaintenanceCapexPct</f>
        <v/>
      </c>
      <c r="D41" s="60">
        <f>D15*MaintenanceCapexPct</f>
        <v/>
      </c>
      <c r="E41" s="60">
        <f>E15*MaintenanceCapexPct</f>
        <v/>
      </c>
      <c r="F41" s="60">
        <f>F15*MaintenanceCapexPct</f>
        <v/>
      </c>
      <c r="G41" s="60">
        <f>G15*MaintenanceCapexPct</f>
        <v/>
      </c>
      <c r="H41" s="60">
        <f>H15*MaintenanceCapexPct</f>
        <v/>
      </c>
      <c r="I41" s="60">
        <f>I15*MaintenanceCapexPct</f>
        <v/>
      </c>
      <c r="J41" s="60">
        <f>J15*MaintenanceCapexPct</f>
        <v/>
      </c>
      <c r="K41" s="60">
        <f>K15*MaintenanceCapexPct</f>
        <v/>
      </c>
      <c r="L41" s="60">
        <f>L15*MaintenanceCapexPct</f>
        <v/>
      </c>
      <c r="M41" s="60">
        <f>M15*MaintenanceCapexPct</f>
        <v/>
      </c>
      <c r="N41" s="60">
        <f>N15*MaintenanceCapexPct</f>
        <v/>
      </c>
      <c r="O41" s="60">
        <f>O15*MaintenanceCapexPct</f>
        <v/>
      </c>
      <c r="P41" s="60">
        <f>P15*MaintenanceCapexPct</f>
        <v/>
      </c>
      <c r="Q41" s="60">
        <f>Q15*MaintenanceCapexPct</f>
        <v/>
      </c>
      <c r="R41" s="60">
        <f>R15*MaintenanceCapexPct</f>
        <v/>
      </c>
      <c r="S41" s="60">
        <f>S15*MaintenanceCapexPct</f>
        <v/>
      </c>
      <c r="T41" s="60">
        <f>T15*MaintenanceCapexPct</f>
        <v/>
      </c>
      <c r="U41" s="60">
        <f>U15*MaintenanceCapexPct</f>
        <v/>
      </c>
      <c r="V41" s="60">
        <f>V15*MaintenanceCapexPct</f>
        <v/>
      </c>
      <c r="W41" s="60">
        <f>W15*MaintenanceCapexPct</f>
        <v/>
      </c>
      <c r="X41" s="60">
        <f>X15*MaintenanceCapexPct</f>
        <v/>
      </c>
      <c r="Y41" s="60">
        <f>Y15*MaintenanceCapexPct</f>
        <v/>
      </c>
      <c r="Z41" s="60">
        <f>Z15*MaintenanceCapexPct</f>
        <v/>
      </c>
      <c r="AA41" s="60">
        <f>AA15*MaintenanceCapexPct</f>
        <v/>
      </c>
      <c r="AB41" s="60">
        <f>AB15*MaintenanceCapexPct</f>
        <v/>
      </c>
      <c r="AC41" s="60">
        <f>AC15*MaintenanceCapexPct</f>
        <v/>
      </c>
      <c r="AD41" s="60">
        <f>AD15*MaintenanceCapexPct</f>
        <v/>
      </c>
      <c r="AE41" s="60">
        <f>AE15*MaintenanceCapexPct</f>
        <v/>
      </c>
      <c r="AF41" s="60">
        <f>AF15*MaintenanceCapexPct</f>
        <v/>
      </c>
      <c r="AG41" s="60">
        <f>AG15*MaintenanceCapexPct</f>
        <v/>
      </c>
      <c r="AH41" s="60">
        <f>AH15*MaintenanceCapexPct</f>
        <v/>
      </c>
      <c r="AI41" s="60">
        <f>AI15*MaintenanceCapexPct</f>
        <v/>
      </c>
      <c r="AJ41" s="60">
        <f>AJ15*MaintenanceCapexPct</f>
        <v/>
      </c>
      <c r="AK41" s="60">
        <f>AK15*MaintenanceCapexPct</f>
        <v/>
      </c>
      <c r="AL41" s="60">
        <f>AL15*MaintenanceCapexPct</f>
        <v/>
      </c>
      <c r="AM41" s="60">
        <f>SUM(C41:N41)</f>
        <v/>
      </c>
      <c r="AN41" s="60">
        <f>SUM(O41:Z41)</f>
        <v/>
      </c>
      <c r="AO41" s="60">
        <f>SUM(AA41:AL41)</f>
        <v/>
      </c>
      <c r="AP41" s="60">
        <f>SUM(AM41:AO41)</f>
        <v/>
      </c>
    </row>
    <row r="42">
      <c r="A42" s="6" t="inlineStr">
        <is>
          <t>Impuesto teórico sin deuda</t>
        </is>
      </c>
      <c r="B42" s="24" t="inlineStr">
        <is>
          <t>€</t>
        </is>
      </c>
      <c r="C42" s="60">
        <f>IF(C7=1,$B$68/12,IF(C7=2,$C$68/12,$D$68/12))</f>
        <v/>
      </c>
      <c r="D42" s="60">
        <f>IF(D7=1,$B$68/12,IF(D7=2,$C$68/12,$D$68/12))</f>
        <v/>
      </c>
      <c r="E42" s="60">
        <f>IF(E7=1,$B$68/12,IF(E7=2,$C$68/12,$D$68/12))</f>
        <v/>
      </c>
      <c r="F42" s="60">
        <f>IF(F7=1,$B$68/12,IF(F7=2,$C$68/12,$D$68/12))</f>
        <v/>
      </c>
      <c r="G42" s="60">
        <f>IF(G7=1,$B$68/12,IF(G7=2,$C$68/12,$D$68/12))</f>
        <v/>
      </c>
      <c r="H42" s="60">
        <f>IF(H7=1,$B$68/12,IF(H7=2,$C$68/12,$D$68/12))</f>
        <v/>
      </c>
      <c r="I42" s="60">
        <f>IF(I7=1,$B$68/12,IF(I7=2,$C$68/12,$D$68/12))</f>
        <v/>
      </c>
      <c r="J42" s="60">
        <f>IF(J7=1,$B$68/12,IF(J7=2,$C$68/12,$D$68/12))</f>
        <v/>
      </c>
      <c r="K42" s="60">
        <f>IF(K7=1,$B$68/12,IF(K7=2,$C$68/12,$D$68/12))</f>
        <v/>
      </c>
      <c r="L42" s="60">
        <f>IF(L7=1,$B$68/12,IF(L7=2,$C$68/12,$D$68/12))</f>
        <v/>
      </c>
      <c r="M42" s="60">
        <f>IF(M7=1,$B$68/12,IF(M7=2,$C$68/12,$D$68/12))</f>
        <v/>
      </c>
      <c r="N42" s="60">
        <f>IF(N7=1,$B$68/12,IF(N7=2,$C$68/12,$D$68/12))</f>
        <v/>
      </c>
      <c r="O42" s="60">
        <f>IF(O7=1,$B$68/12,IF(O7=2,$C$68/12,$D$68/12))</f>
        <v/>
      </c>
      <c r="P42" s="60">
        <f>IF(P7=1,$B$68/12,IF(P7=2,$C$68/12,$D$68/12))</f>
        <v/>
      </c>
      <c r="Q42" s="60">
        <f>IF(Q7=1,$B$68/12,IF(Q7=2,$C$68/12,$D$68/12))</f>
        <v/>
      </c>
      <c r="R42" s="60">
        <f>IF(R7=1,$B$68/12,IF(R7=2,$C$68/12,$D$68/12))</f>
        <v/>
      </c>
      <c r="S42" s="60">
        <f>IF(S7=1,$B$68/12,IF(S7=2,$C$68/12,$D$68/12))</f>
        <v/>
      </c>
      <c r="T42" s="60">
        <f>IF(T7=1,$B$68/12,IF(T7=2,$C$68/12,$D$68/12))</f>
        <v/>
      </c>
      <c r="U42" s="60">
        <f>IF(U7=1,$B$68/12,IF(U7=2,$C$68/12,$D$68/12))</f>
        <v/>
      </c>
      <c r="V42" s="60">
        <f>IF(V7=1,$B$68/12,IF(V7=2,$C$68/12,$D$68/12))</f>
        <v/>
      </c>
      <c r="W42" s="60">
        <f>IF(W7=1,$B$68/12,IF(W7=2,$C$68/12,$D$68/12))</f>
        <v/>
      </c>
      <c r="X42" s="60">
        <f>IF(X7=1,$B$68/12,IF(X7=2,$C$68/12,$D$68/12))</f>
        <v/>
      </c>
      <c r="Y42" s="60">
        <f>IF(Y7=1,$B$68/12,IF(Y7=2,$C$68/12,$D$68/12))</f>
        <v/>
      </c>
      <c r="Z42" s="60">
        <f>IF(Z7=1,$B$68/12,IF(Z7=2,$C$68/12,$D$68/12))</f>
        <v/>
      </c>
      <c r="AA42" s="60">
        <f>IF(AA7=1,$B$68/12,IF(AA7=2,$C$68/12,$D$68/12))</f>
        <v/>
      </c>
      <c r="AB42" s="60">
        <f>IF(AB7=1,$B$68/12,IF(AB7=2,$C$68/12,$D$68/12))</f>
        <v/>
      </c>
      <c r="AC42" s="60">
        <f>IF(AC7=1,$B$68/12,IF(AC7=2,$C$68/12,$D$68/12))</f>
        <v/>
      </c>
      <c r="AD42" s="60">
        <f>IF(AD7=1,$B$68/12,IF(AD7=2,$C$68/12,$D$68/12))</f>
        <v/>
      </c>
      <c r="AE42" s="60">
        <f>IF(AE7=1,$B$68/12,IF(AE7=2,$C$68/12,$D$68/12))</f>
        <v/>
      </c>
      <c r="AF42" s="60">
        <f>IF(AF7=1,$B$68/12,IF(AF7=2,$C$68/12,$D$68/12))</f>
        <v/>
      </c>
      <c r="AG42" s="60">
        <f>IF(AG7=1,$B$68/12,IF(AG7=2,$C$68/12,$D$68/12))</f>
        <v/>
      </c>
      <c r="AH42" s="60">
        <f>IF(AH7=1,$B$68/12,IF(AH7=2,$C$68/12,$D$68/12))</f>
        <v/>
      </c>
      <c r="AI42" s="60">
        <f>IF(AI7=1,$B$68/12,IF(AI7=2,$C$68/12,$D$68/12))</f>
        <v/>
      </c>
      <c r="AJ42" s="60">
        <f>IF(AJ7=1,$B$68/12,IF(AJ7=2,$C$68/12,$D$68/12))</f>
        <v/>
      </c>
      <c r="AK42" s="60">
        <f>IF(AK7=1,$B$68/12,IF(AK7=2,$C$68/12,$D$68/12))</f>
        <v/>
      </c>
      <c r="AL42" s="60">
        <f>IF(AL7=1,$B$68/12,IF(AL7=2,$C$68/12,$D$68/12))</f>
        <v/>
      </c>
      <c r="AM42" s="60">
        <f>SUM(C42:N42)</f>
        <v/>
      </c>
      <c r="AN42" s="60">
        <f>SUM(O42:Z42)</f>
        <v/>
      </c>
      <c r="AO42" s="60">
        <f>SUM(AA42:AL42)</f>
        <v/>
      </c>
      <c r="AP42" s="60">
        <f>SUM(AM42:AO42)</f>
        <v/>
      </c>
    </row>
    <row r="43">
      <c r="A43" s="6" t="inlineStr">
        <is>
          <t>FCFF</t>
        </is>
      </c>
      <c r="B43" s="24" t="inlineStr">
        <is>
          <t>€</t>
        </is>
      </c>
      <c r="C43" s="59">
        <f>C26-C42-C41-C40</f>
        <v/>
      </c>
      <c r="D43" s="59">
        <f>D26-D42-D41-D40</f>
        <v/>
      </c>
      <c r="E43" s="59">
        <f>E26-E42-E41-E40</f>
        <v/>
      </c>
      <c r="F43" s="59">
        <f>F26-F42-F41-F40</f>
        <v/>
      </c>
      <c r="G43" s="59">
        <f>G26-G42-G41-G40</f>
        <v/>
      </c>
      <c r="H43" s="59">
        <f>H26-H42-H41-H40</f>
        <v/>
      </c>
      <c r="I43" s="59">
        <f>I26-I42-I41-I40</f>
        <v/>
      </c>
      <c r="J43" s="59">
        <f>J26-J42-J41-J40</f>
        <v/>
      </c>
      <c r="K43" s="59">
        <f>K26-K42-K41-K40</f>
        <v/>
      </c>
      <c r="L43" s="59">
        <f>L26-L42-L41-L40</f>
        <v/>
      </c>
      <c r="M43" s="59">
        <f>M26-M42-M41-M40</f>
        <v/>
      </c>
      <c r="N43" s="59">
        <f>N26-N42-N41-N40</f>
        <v/>
      </c>
      <c r="O43" s="59">
        <f>O26-O42-O41-O40</f>
        <v/>
      </c>
      <c r="P43" s="59">
        <f>P26-P42-P41-P40</f>
        <v/>
      </c>
      <c r="Q43" s="59">
        <f>Q26-Q42-Q41-Q40</f>
        <v/>
      </c>
      <c r="R43" s="59">
        <f>R26-R42-R41-R40</f>
        <v/>
      </c>
      <c r="S43" s="59">
        <f>S26-S42-S41-S40</f>
        <v/>
      </c>
      <c r="T43" s="59">
        <f>T26-T42-T41-T40</f>
        <v/>
      </c>
      <c r="U43" s="59">
        <f>U26-U42-U41-U40</f>
        <v/>
      </c>
      <c r="V43" s="59">
        <f>V26-V42-V41-V40</f>
        <v/>
      </c>
      <c r="W43" s="59">
        <f>W26-W42-W41-W40</f>
        <v/>
      </c>
      <c r="X43" s="59">
        <f>X26-X42-X41-X40</f>
        <v/>
      </c>
      <c r="Y43" s="59">
        <f>Y26-Y42-Y41-Y40</f>
        <v/>
      </c>
      <c r="Z43" s="59">
        <f>Z26-Z42-Z41-Z40</f>
        <v/>
      </c>
      <c r="AA43" s="59">
        <f>AA26-AA42-AA41-AA40</f>
        <v/>
      </c>
      <c r="AB43" s="59">
        <f>AB26-AB42-AB41-AB40</f>
        <v/>
      </c>
      <c r="AC43" s="59">
        <f>AC26-AC42-AC41-AC40</f>
        <v/>
      </c>
      <c r="AD43" s="59">
        <f>AD26-AD42-AD41-AD40</f>
        <v/>
      </c>
      <c r="AE43" s="59">
        <f>AE26-AE42-AE41-AE40</f>
        <v/>
      </c>
      <c r="AF43" s="59">
        <f>AF26-AF42-AF41-AF40</f>
        <v/>
      </c>
      <c r="AG43" s="59">
        <f>AG26-AG42-AG41-AG40</f>
        <v/>
      </c>
      <c r="AH43" s="59">
        <f>AH26-AH42-AH41-AH40</f>
        <v/>
      </c>
      <c r="AI43" s="59">
        <f>AI26-AI42-AI41-AI40</f>
        <v/>
      </c>
      <c r="AJ43" s="59">
        <f>AJ26-AJ42-AJ41-AJ40</f>
        <v/>
      </c>
      <c r="AK43" s="59">
        <f>AK26-AK42-AK41-AK40</f>
        <v/>
      </c>
      <c r="AL43" s="59">
        <f>AL26-AL42-AL41-AL40</f>
        <v/>
      </c>
      <c r="AM43" s="59">
        <f>SUM(C43:N43)</f>
        <v/>
      </c>
      <c r="AN43" s="59">
        <f>SUM(O43:Z43)</f>
        <v/>
      </c>
      <c r="AO43" s="59">
        <f>SUM(AA43:AL43)</f>
        <v/>
      </c>
      <c r="AP43" s="59">
        <f>SUM(AM43:AO43)</f>
        <v/>
      </c>
    </row>
    <row r="44">
      <c r="A44" s="6" t="inlineStr">
        <is>
          <t>Intereses</t>
        </is>
      </c>
      <c r="B44" s="24" t="inlineStr">
        <is>
          <t>€</t>
        </is>
      </c>
      <c r="C44" s="60">
        <f>C53</f>
        <v/>
      </c>
      <c r="D44" s="60">
        <f>D53</f>
        <v/>
      </c>
      <c r="E44" s="60">
        <f>E53</f>
        <v/>
      </c>
      <c r="F44" s="60">
        <f>F53</f>
        <v/>
      </c>
      <c r="G44" s="60">
        <f>G53</f>
        <v/>
      </c>
      <c r="H44" s="60">
        <f>H53</f>
        <v/>
      </c>
      <c r="I44" s="60">
        <f>I53</f>
        <v/>
      </c>
      <c r="J44" s="60">
        <f>J53</f>
        <v/>
      </c>
      <c r="K44" s="60">
        <f>K53</f>
        <v/>
      </c>
      <c r="L44" s="60">
        <f>L53</f>
        <v/>
      </c>
      <c r="M44" s="60">
        <f>M53</f>
        <v/>
      </c>
      <c r="N44" s="60">
        <f>N53</f>
        <v/>
      </c>
      <c r="O44" s="60">
        <f>O53</f>
        <v/>
      </c>
      <c r="P44" s="60">
        <f>P53</f>
        <v/>
      </c>
      <c r="Q44" s="60">
        <f>Q53</f>
        <v/>
      </c>
      <c r="R44" s="60">
        <f>R53</f>
        <v/>
      </c>
      <c r="S44" s="60">
        <f>S53</f>
        <v/>
      </c>
      <c r="T44" s="60">
        <f>T53</f>
        <v/>
      </c>
      <c r="U44" s="60">
        <f>U53</f>
        <v/>
      </c>
      <c r="V44" s="60">
        <f>V53</f>
        <v/>
      </c>
      <c r="W44" s="60">
        <f>W53</f>
        <v/>
      </c>
      <c r="X44" s="60">
        <f>X53</f>
        <v/>
      </c>
      <c r="Y44" s="60">
        <f>Y53</f>
        <v/>
      </c>
      <c r="Z44" s="60">
        <f>Z53</f>
        <v/>
      </c>
      <c r="AA44" s="60">
        <f>AA53</f>
        <v/>
      </c>
      <c r="AB44" s="60">
        <f>AB53</f>
        <v/>
      </c>
      <c r="AC44" s="60">
        <f>AC53</f>
        <v/>
      </c>
      <c r="AD44" s="60">
        <f>AD53</f>
        <v/>
      </c>
      <c r="AE44" s="60">
        <f>AE53</f>
        <v/>
      </c>
      <c r="AF44" s="60">
        <f>AF53</f>
        <v/>
      </c>
      <c r="AG44" s="60">
        <f>AG53</f>
        <v/>
      </c>
      <c r="AH44" s="60">
        <f>AH53</f>
        <v/>
      </c>
      <c r="AI44" s="60">
        <f>AI53</f>
        <v/>
      </c>
      <c r="AJ44" s="60">
        <f>AJ53</f>
        <v/>
      </c>
      <c r="AK44" s="60">
        <f>AK53</f>
        <v/>
      </c>
      <c r="AL44" s="60">
        <f>AL53</f>
        <v/>
      </c>
      <c r="AM44" s="60">
        <f>SUM(C44:N44)</f>
        <v/>
      </c>
      <c r="AN44" s="60">
        <f>SUM(O44:Z44)</f>
        <v/>
      </c>
      <c r="AO44" s="60">
        <f>SUM(AA44:AL44)</f>
        <v/>
      </c>
      <c r="AP44" s="60">
        <f>SUM(AM44:AO44)</f>
        <v/>
      </c>
    </row>
    <row r="45">
      <c r="A45" s="6" t="inlineStr">
        <is>
          <t>Escudo fiscal</t>
        </is>
      </c>
      <c r="B45" s="24" t="inlineStr">
        <is>
          <t>€</t>
        </is>
      </c>
      <c r="C45" s="60">
        <f>C42-C31</f>
        <v/>
      </c>
      <c r="D45" s="60">
        <f>D42-D31</f>
        <v/>
      </c>
      <c r="E45" s="60">
        <f>E42-E31</f>
        <v/>
      </c>
      <c r="F45" s="60">
        <f>F42-F31</f>
        <v/>
      </c>
      <c r="G45" s="60">
        <f>G42-G31</f>
        <v/>
      </c>
      <c r="H45" s="60">
        <f>H42-H31</f>
        <v/>
      </c>
      <c r="I45" s="60">
        <f>I42-I31</f>
        <v/>
      </c>
      <c r="J45" s="60">
        <f>J42-J31</f>
        <v/>
      </c>
      <c r="K45" s="60">
        <f>K42-K31</f>
        <v/>
      </c>
      <c r="L45" s="60">
        <f>L42-L31</f>
        <v/>
      </c>
      <c r="M45" s="60">
        <f>M42-M31</f>
        <v/>
      </c>
      <c r="N45" s="60">
        <f>N42-N31</f>
        <v/>
      </c>
      <c r="O45" s="60">
        <f>O42-O31</f>
        <v/>
      </c>
      <c r="P45" s="60">
        <f>P42-P31</f>
        <v/>
      </c>
      <c r="Q45" s="60">
        <f>Q42-Q31</f>
        <v/>
      </c>
      <c r="R45" s="60">
        <f>R42-R31</f>
        <v/>
      </c>
      <c r="S45" s="60">
        <f>S42-S31</f>
        <v/>
      </c>
      <c r="T45" s="60">
        <f>T42-T31</f>
        <v/>
      </c>
      <c r="U45" s="60">
        <f>U42-U31</f>
        <v/>
      </c>
      <c r="V45" s="60">
        <f>V42-V31</f>
        <v/>
      </c>
      <c r="W45" s="60">
        <f>W42-W31</f>
        <v/>
      </c>
      <c r="X45" s="60">
        <f>X42-X31</f>
        <v/>
      </c>
      <c r="Y45" s="60">
        <f>Y42-Y31</f>
        <v/>
      </c>
      <c r="Z45" s="60">
        <f>Z42-Z31</f>
        <v/>
      </c>
      <c r="AA45" s="60">
        <f>AA42-AA31</f>
        <v/>
      </c>
      <c r="AB45" s="60">
        <f>AB42-AB31</f>
        <v/>
      </c>
      <c r="AC45" s="60">
        <f>AC42-AC31</f>
        <v/>
      </c>
      <c r="AD45" s="60">
        <f>AD42-AD31</f>
        <v/>
      </c>
      <c r="AE45" s="60">
        <f>AE42-AE31</f>
        <v/>
      </c>
      <c r="AF45" s="60">
        <f>AF42-AF31</f>
        <v/>
      </c>
      <c r="AG45" s="60">
        <f>AG42-AG31</f>
        <v/>
      </c>
      <c r="AH45" s="60">
        <f>AH42-AH31</f>
        <v/>
      </c>
      <c r="AI45" s="60">
        <f>AI42-AI31</f>
        <v/>
      </c>
      <c r="AJ45" s="60">
        <f>AJ42-AJ31</f>
        <v/>
      </c>
      <c r="AK45" s="60">
        <f>AK42-AK31</f>
        <v/>
      </c>
      <c r="AL45" s="60">
        <f>AL42-AL31</f>
        <v/>
      </c>
      <c r="AM45" s="60">
        <f>SUM(C45:N45)</f>
        <v/>
      </c>
      <c r="AN45" s="60">
        <f>SUM(O45:Z45)</f>
        <v/>
      </c>
      <c r="AO45" s="60">
        <f>SUM(AA45:AL45)</f>
        <v/>
      </c>
      <c r="AP45" s="60">
        <f>SUM(AM45:AO45)</f>
        <v/>
      </c>
    </row>
    <row r="46">
      <c r="A46" s="6" t="inlineStr">
        <is>
          <t>Principal</t>
        </is>
      </c>
      <c r="B46" s="24" t="inlineStr">
        <is>
          <t>€</t>
        </is>
      </c>
      <c r="C46" s="60">
        <f>C54</f>
        <v/>
      </c>
      <c r="D46" s="60">
        <f>D54</f>
        <v/>
      </c>
      <c r="E46" s="60">
        <f>E54</f>
        <v/>
      </c>
      <c r="F46" s="60">
        <f>F54</f>
        <v/>
      </c>
      <c r="G46" s="60">
        <f>G54</f>
        <v/>
      </c>
      <c r="H46" s="60">
        <f>H54</f>
        <v/>
      </c>
      <c r="I46" s="60">
        <f>I54</f>
        <v/>
      </c>
      <c r="J46" s="60">
        <f>J54</f>
        <v/>
      </c>
      <c r="K46" s="60">
        <f>K54</f>
        <v/>
      </c>
      <c r="L46" s="60">
        <f>L54</f>
        <v/>
      </c>
      <c r="M46" s="60">
        <f>M54</f>
        <v/>
      </c>
      <c r="N46" s="60">
        <f>N54</f>
        <v/>
      </c>
      <c r="O46" s="60">
        <f>O54</f>
        <v/>
      </c>
      <c r="P46" s="60">
        <f>P54</f>
        <v/>
      </c>
      <c r="Q46" s="60">
        <f>Q54</f>
        <v/>
      </c>
      <c r="R46" s="60">
        <f>R54</f>
        <v/>
      </c>
      <c r="S46" s="60">
        <f>S54</f>
        <v/>
      </c>
      <c r="T46" s="60">
        <f>T54</f>
        <v/>
      </c>
      <c r="U46" s="60">
        <f>U54</f>
        <v/>
      </c>
      <c r="V46" s="60">
        <f>V54</f>
        <v/>
      </c>
      <c r="W46" s="60">
        <f>W54</f>
        <v/>
      </c>
      <c r="X46" s="60">
        <f>X54</f>
        <v/>
      </c>
      <c r="Y46" s="60">
        <f>Y54</f>
        <v/>
      </c>
      <c r="Z46" s="60">
        <f>Z54</f>
        <v/>
      </c>
      <c r="AA46" s="60">
        <f>AA54</f>
        <v/>
      </c>
      <c r="AB46" s="60">
        <f>AB54</f>
        <v/>
      </c>
      <c r="AC46" s="60">
        <f>AC54</f>
        <v/>
      </c>
      <c r="AD46" s="60">
        <f>AD54</f>
        <v/>
      </c>
      <c r="AE46" s="60">
        <f>AE54</f>
        <v/>
      </c>
      <c r="AF46" s="60">
        <f>AF54</f>
        <v/>
      </c>
      <c r="AG46" s="60">
        <f>AG54</f>
        <v/>
      </c>
      <c r="AH46" s="60">
        <f>AH54</f>
        <v/>
      </c>
      <c r="AI46" s="60">
        <f>AI54</f>
        <v/>
      </c>
      <c r="AJ46" s="60">
        <f>AJ54</f>
        <v/>
      </c>
      <c r="AK46" s="60">
        <f>AK54</f>
        <v/>
      </c>
      <c r="AL46" s="60">
        <f>AL54</f>
        <v/>
      </c>
      <c r="AM46" s="60">
        <f>SUM(C46:N46)</f>
        <v/>
      </c>
      <c r="AN46" s="60">
        <f>SUM(O46:Z46)</f>
        <v/>
      </c>
      <c r="AO46" s="60">
        <f>SUM(AA46:AL46)</f>
        <v/>
      </c>
      <c r="AP46" s="60">
        <f>SUM(AM46:AO46)</f>
        <v/>
      </c>
    </row>
    <row r="47">
      <c r="A47" s="6" t="inlineStr">
        <is>
          <t>FCFE</t>
        </is>
      </c>
      <c r="B47" s="24" t="inlineStr">
        <is>
          <t>€</t>
        </is>
      </c>
      <c r="C47" s="59">
        <f>C43-C44+C45-C46</f>
        <v/>
      </c>
      <c r="D47" s="59">
        <f>D43-D44+D45-D46</f>
        <v/>
      </c>
      <c r="E47" s="59">
        <f>E43-E44+E45-E46</f>
        <v/>
      </c>
      <c r="F47" s="59">
        <f>F43-F44+F45-F46</f>
        <v/>
      </c>
      <c r="G47" s="59">
        <f>G43-G44+G45-G46</f>
        <v/>
      </c>
      <c r="H47" s="59">
        <f>H43-H44+H45-H46</f>
        <v/>
      </c>
      <c r="I47" s="59">
        <f>I43-I44+I45-I46</f>
        <v/>
      </c>
      <c r="J47" s="59">
        <f>J43-J44+J45-J46</f>
        <v/>
      </c>
      <c r="K47" s="59">
        <f>K43-K44+K45-K46</f>
        <v/>
      </c>
      <c r="L47" s="59">
        <f>L43-L44+L45-L46</f>
        <v/>
      </c>
      <c r="M47" s="59">
        <f>M43-M44+M45-M46</f>
        <v/>
      </c>
      <c r="N47" s="59">
        <f>N43-N44+N45-N46</f>
        <v/>
      </c>
      <c r="O47" s="59">
        <f>O43-O44+O45-O46</f>
        <v/>
      </c>
      <c r="P47" s="59">
        <f>P43-P44+P45-P46</f>
        <v/>
      </c>
      <c r="Q47" s="59">
        <f>Q43-Q44+Q45-Q46</f>
        <v/>
      </c>
      <c r="R47" s="59">
        <f>R43-R44+R45-R46</f>
        <v/>
      </c>
      <c r="S47" s="59">
        <f>S43-S44+S45-S46</f>
        <v/>
      </c>
      <c r="T47" s="59">
        <f>T43-T44+T45-T46</f>
        <v/>
      </c>
      <c r="U47" s="59">
        <f>U43-U44+U45-U46</f>
        <v/>
      </c>
      <c r="V47" s="59">
        <f>V43-V44+V45-V46</f>
        <v/>
      </c>
      <c r="W47" s="59">
        <f>W43-W44+W45-W46</f>
        <v/>
      </c>
      <c r="X47" s="59">
        <f>X43-X44+X45-X46</f>
        <v/>
      </c>
      <c r="Y47" s="59">
        <f>Y43-Y44+Y45-Y46</f>
        <v/>
      </c>
      <c r="Z47" s="59">
        <f>Z43-Z44+Z45-Z46</f>
        <v/>
      </c>
      <c r="AA47" s="59">
        <f>AA43-AA44+AA45-AA46</f>
        <v/>
      </c>
      <c r="AB47" s="59">
        <f>AB43-AB44+AB45-AB46</f>
        <v/>
      </c>
      <c r="AC47" s="59">
        <f>AC43-AC44+AC45-AC46</f>
        <v/>
      </c>
      <c r="AD47" s="59">
        <f>AD43-AD44+AD45-AD46</f>
        <v/>
      </c>
      <c r="AE47" s="59">
        <f>AE43-AE44+AE45-AE46</f>
        <v/>
      </c>
      <c r="AF47" s="59">
        <f>AF43-AF44+AF45-AF46</f>
        <v/>
      </c>
      <c r="AG47" s="59">
        <f>AG43-AG44+AG45-AG46</f>
        <v/>
      </c>
      <c r="AH47" s="59">
        <f>AH43-AH44+AH45-AH46</f>
        <v/>
      </c>
      <c r="AI47" s="59">
        <f>AI43-AI44+AI45-AI46</f>
        <v/>
      </c>
      <c r="AJ47" s="59">
        <f>AJ43-AJ44+AJ45-AJ46</f>
        <v/>
      </c>
      <c r="AK47" s="59">
        <f>AK43-AK44+AK45-AK46</f>
        <v/>
      </c>
      <c r="AL47" s="59">
        <f>AL43-AL44+AL45-AL46</f>
        <v/>
      </c>
      <c r="AM47" s="59">
        <f>SUM(C47:N47)</f>
        <v/>
      </c>
      <c r="AN47" s="59">
        <f>SUM(O47:Z47)</f>
        <v/>
      </c>
      <c r="AO47" s="59">
        <f>SUM(AA47:AL47)</f>
        <v/>
      </c>
      <c r="AP47" s="59">
        <f>SUM(AM47:AO47)</f>
        <v/>
      </c>
    </row>
    <row r="48">
      <c r="A48" s="6" t="inlineStr">
        <is>
          <t>Caja final</t>
        </is>
      </c>
      <c r="B48" s="24" t="inlineStr">
        <is>
          <t>€</t>
        </is>
      </c>
      <c r="C48" s="59">
        <f>C38+C47</f>
        <v/>
      </c>
      <c r="D48" s="59">
        <f>D38+D47</f>
        <v/>
      </c>
      <c r="E48" s="59">
        <f>E38+E47</f>
        <v/>
      </c>
      <c r="F48" s="59">
        <f>F38+F47</f>
        <v/>
      </c>
      <c r="G48" s="59">
        <f>G38+G47</f>
        <v/>
      </c>
      <c r="H48" s="59">
        <f>H38+H47</f>
        <v/>
      </c>
      <c r="I48" s="59">
        <f>I38+I47</f>
        <v/>
      </c>
      <c r="J48" s="59">
        <f>J38+J47</f>
        <v/>
      </c>
      <c r="K48" s="59">
        <f>K38+K47</f>
        <v/>
      </c>
      <c r="L48" s="59">
        <f>L38+L47</f>
        <v/>
      </c>
      <c r="M48" s="59">
        <f>M38+M47</f>
        <v/>
      </c>
      <c r="N48" s="59">
        <f>N38+N47</f>
        <v/>
      </c>
      <c r="O48" s="59">
        <f>O38+O47</f>
        <v/>
      </c>
      <c r="P48" s="59">
        <f>P38+P47</f>
        <v/>
      </c>
      <c r="Q48" s="59">
        <f>Q38+Q47</f>
        <v/>
      </c>
      <c r="R48" s="59">
        <f>R38+R47</f>
        <v/>
      </c>
      <c r="S48" s="59">
        <f>S38+S47</f>
        <v/>
      </c>
      <c r="T48" s="59">
        <f>T38+T47</f>
        <v/>
      </c>
      <c r="U48" s="59">
        <f>U38+U47</f>
        <v/>
      </c>
      <c r="V48" s="59">
        <f>V38+V47</f>
        <v/>
      </c>
      <c r="W48" s="59">
        <f>W38+W47</f>
        <v/>
      </c>
      <c r="X48" s="59">
        <f>X38+X47</f>
        <v/>
      </c>
      <c r="Y48" s="59">
        <f>Y38+Y47</f>
        <v/>
      </c>
      <c r="Z48" s="59">
        <f>Z38+Z47</f>
        <v/>
      </c>
      <c r="AA48" s="59">
        <f>AA38+AA47</f>
        <v/>
      </c>
      <c r="AB48" s="59">
        <f>AB38+AB47</f>
        <v/>
      </c>
      <c r="AC48" s="59">
        <f>AC38+AC47</f>
        <v/>
      </c>
      <c r="AD48" s="59">
        <f>AD38+AD47</f>
        <v/>
      </c>
      <c r="AE48" s="59">
        <f>AE38+AE47</f>
        <v/>
      </c>
      <c r="AF48" s="59">
        <f>AF38+AF47</f>
        <v/>
      </c>
      <c r="AG48" s="59">
        <f>AG38+AG47</f>
        <v/>
      </c>
      <c r="AH48" s="59">
        <f>AH38+AH47</f>
        <v/>
      </c>
      <c r="AI48" s="59">
        <f>AI38+AI47</f>
        <v/>
      </c>
      <c r="AJ48" s="59">
        <f>AJ38+AJ47</f>
        <v/>
      </c>
      <c r="AK48" s="59">
        <f>AK38+AK47</f>
        <v/>
      </c>
      <c r="AL48" s="59">
        <f>AL38+AL47</f>
        <v/>
      </c>
      <c r="AM48" s="59">
        <f>N48</f>
        <v/>
      </c>
      <c r="AN48" s="59">
        <f>Z48</f>
        <v/>
      </c>
      <c r="AO48" s="59">
        <f>AL48</f>
        <v/>
      </c>
      <c r="AP48" s="59">
        <f>AO48</f>
        <v/>
      </c>
    </row>
    <row r="49">
      <c r="A49" s="6" t="inlineStr">
        <is>
          <t>Check caja mínima</t>
        </is>
      </c>
      <c r="B49" s="24" t="inlineStr">
        <is>
          <t>texto</t>
        </is>
      </c>
      <c r="C49" s="61">
        <f>IF(C48&lt;MinCash,"Alerta","OK")</f>
        <v/>
      </c>
      <c r="D49" s="61">
        <f>IF(D48&lt;MinCash,"Alerta","OK")</f>
        <v/>
      </c>
      <c r="E49" s="61">
        <f>IF(E48&lt;MinCash,"Alerta","OK")</f>
        <v/>
      </c>
      <c r="F49" s="61">
        <f>IF(F48&lt;MinCash,"Alerta","OK")</f>
        <v/>
      </c>
      <c r="G49" s="61">
        <f>IF(G48&lt;MinCash,"Alerta","OK")</f>
        <v/>
      </c>
      <c r="H49" s="61">
        <f>IF(H48&lt;MinCash,"Alerta","OK")</f>
        <v/>
      </c>
      <c r="I49" s="61">
        <f>IF(I48&lt;MinCash,"Alerta","OK")</f>
        <v/>
      </c>
      <c r="J49" s="61">
        <f>IF(J48&lt;MinCash,"Alerta","OK")</f>
        <v/>
      </c>
      <c r="K49" s="61">
        <f>IF(K48&lt;MinCash,"Alerta","OK")</f>
        <v/>
      </c>
      <c r="L49" s="61">
        <f>IF(L48&lt;MinCash,"Alerta","OK")</f>
        <v/>
      </c>
      <c r="M49" s="61">
        <f>IF(M48&lt;MinCash,"Alerta","OK")</f>
        <v/>
      </c>
      <c r="N49" s="61">
        <f>IF(N48&lt;MinCash,"Alerta","OK")</f>
        <v/>
      </c>
      <c r="O49" s="61">
        <f>IF(O48&lt;MinCash,"Alerta","OK")</f>
        <v/>
      </c>
      <c r="P49" s="61">
        <f>IF(P48&lt;MinCash,"Alerta","OK")</f>
        <v/>
      </c>
      <c r="Q49" s="61">
        <f>IF(Q48&lt;MinCash,"Alerta","OK")</f>
        <v/>
      </c>
      <c r="R49" s="61">
        <f>IF(R48&lt;MinCash,"Alerta","OK")</f>
        <v/>
      </c>
      <c r="S49" s="61">
        <f>IF(S48&lt;MinCash,"Alerta","OK")</f>
        <v/>
      </c>
      <c r="T49" s="61">
        <f>IF(T48&lt;MinCash,"Alerta","OK")</f>
        <v/>
      </c>
      <c r="U49" s="61">
        <f>IF(U48&lt;MinCash,"Alerta","OK")</f>
        <v/>
      </c>
      <c r="V49" s="61">
        <f>IF(V48&lt;MinCash,"Alerta","OK")</f>
        <v/>
      </c>
      <c r="W49" s="61">
        <f>IF(W48&lt;MinCash,"Alerta","OK")</f>
        <v/>
      </c>
      <c r="X49" s="61">
        <f>IF(X48&lt;MinCash,"Alerta","OK")</f>
        <v/>
      </c>
      <c r="Y49" s="61">
        <f>IF(Y48&lt;MinCash,"Alerta","OK")</f>
        <v/>
      </c>
      <c r="Z49" s="61">
        <f>IF(Z48&lt;MinCash,"Alerta","OK")</f>
        <v/>
      </c>
      <c r="AA49" s="61">
        <f>IF(AA48&lt;MinCash,"Alerta","OK")</f>
        <v/>
      </c>
      <c r="AB49" s="61">
        <f>IF(AB48&lt;MinCash,"Alerta","OK")</f>
        <v/>
      </c>
      <c r="AC49" s="61">
        <f>IF(AC48&lt;MinCash,"Alerta","OK")</f>
        <v/>
      </c>
      <c r="AD49" s="61">
        <f>IF(AD48&lt;MinCash,"Alerta","OK")</f>
        <v/>
      </c>
      <c r="AE49" s="61">
        <f>IF(AE48&lt;MinCash,"Alerta","OK")</f>
        <v/>
      </c>
      <c r="AF49" s="61">
        <f>IF(AF48&lt;MinCash,"Alerta","OK")</f>
        <v/>
      </c>
      <c r="AG49" s="61">
        <f>IF(AG48&lt;MinCash,"Alerta","OK")</f>
        <v/>
      </c>
      <c r="AH49" s="61">
        <f>IF(AH48&lt;MinCash,"Alerta","OK")</f>
        <v/>
      </c>
      <c r="AI49" s="61">
        <f>IF(AI48&lt;MinCash,"Alerta","OK")</f>
        <v/>
      </c>
      <c r="AJ49" s="61">
        <f>IF(AJ48&lt;MinCash,"Alerta","OK")</f>
        <v/>
      </c>
      <c r="AK49" s="61">
        <f>IF(AK48&lt;MinCash,"Alerta","OK")</f>
        <v/>
      </c>
      <c r="AL49" s="61">
        <f>IF(AL48&lt;MinCash,"Alerta","OK")</f>
        <v/>
      </c>
    </row>
    <row r="50">
      <c r="A50" s="6" t="inlineStr">
        <is>
          <t>Check caja (debe ser 0)</t>
        </is>
      </c>
      <c r="B50" s="24" t="inlineStr">
        <is>
          <t>€</t>
        </is>
      </c>
      <c r="C50" s="60">
        <f>C38+C47-C48</f>
        <v/>
      </c>
      <c r="D50" s="60">
        <f>D38+D47-D48</f>
        <v/>
      </c>
      <c r="E50" s="60">
        <f>E38+E47-E48</f>
        <v/>
      </c>
      <c r="F50" s="60">
        <f>F38+F47-F48</f>
        <v/>
      </c>
      <c r="G50" s="60">
        <f>G38+G47-G48</f>
        <v/>
      </c>
      <c r="H50" s="60">
        <f>H38+H47-H48</f>
        <v/>
      </c>
      <c r="I50" s="60">
        <f>I38+I47-I48</f>
        <v/>
      </c>
      <c r="J50" s="60">
        <f>J38+J47-J48</f>
        <v/>
      </c>
      <c r="K50" s="60">
        <f>K38+K47-K48</f>
        <v/>
      </c>
      <c r="L50" s="60">
        <f>L38+L47-L48</f>
        <v/>
      </c>
      <c r="M50" s="60">
        <f>M38+M47-M48</f>
        <v/>
      </c>
      <c r="N50" s="60">
        <f>N38+N47-N48</f>
        <v/>
      </c>
      <c r="O50" s="60">
        <f>O38+O47-O48</f>
        <v/>
      </c>
      <c r="P50" s="60">
        <f>P38+P47-P48</f>
        <v/>
      </c>
      <c r="Q50" s="60">
        <f>Q38+Q47-Q48</f>
        <v/>
      </c>
      <c r="R50" s="60">
        <f>R38+R47-R48</f>
        <v/>
      </c>
      <c r="S50" s="60">
        <f>S38+S47-S48</f>
        <v/>
      </c>
      <c r="T50" s="60">
        <f>T38+T47-T48</f>
        <v/>
      </c>
      <c r="U50" s="60">
        <f>U38+U47-U48</f>
        <v/>
      </c>
      <c r="V50" s="60">
        <f>V38+V47-V48</f>
        <v/>
      </c>
      <c r="W50" s="60">
        <f>W38+W47-W48</f>
        <v/>
      </c>
      <c r="X50" s="60">
        <f>X38+X47-X48</f>
        <v/>
      </c>
      <c r="Y50" s="60">
        <f>Y38+Y47-Y48</f>
        <v/>
      </c>
      <c r="Z50" s="60">
        <f>Z38+Z47-Z48</f>
        <v/>
      </c>
      <c r="AA50" s="60">
        <f>AA38+AA47-AA48</f>
        <v/>
      </c>
      <c r="AB50" s="60">
        <f>AB38+AB47-AB48</f>
        <v/>
      </c>
      <c r="AC50" s="60">
        <f>AC38+AC47-AC48</f>
        <v/>
      </c>
      <c r="AD50" s="60">
        <f>AD38+AD47-AD48</f>
        <v/>
      </c>
      <c r="AE50" s="60">
        <f>AE38+AE47-AE48</f>
        <v/>
      </c>
      <c r="AF50" s="60">
        <f>AF38+AF47-AF48</f>
        <v/>
      </c>
      <c r="AG50" s="60">
        <f>AG38+AG47-AG48</f>
        <v/>
      </c>
      <c r="AH50" s="60">
        <f>AH38+AH47-AH48</f>
        <v/>
      </c>
      <c r="AI50" s="60">
        <f>AI38+AI47-AI48</f>
        <v/>
      </c>
      <c r="AJ50" s="60">
        <f>AJ38+AJ47-AJ48</f>
        <v/>
      </c>
      <c r="AK50" s="60">
        <f>AK38+AK47-AK48</f>
        <v/>
      </c>
      <c r="AL50" s="60">
        <f>AL38+AL47-AL48</f>
        <v/>
      </c>
      <c r="AM50" s="60">
        <f>SUM(C50:N50)</f>
        <v/>
      </c>
      <c r="AN50" s="60">
        <f>SUM(O50:Z50)</f>
        <v/>
      </c>
      <c r="AO50" s="60">
        <f>SUM(AA50:AL50)</f>
        <v/>
      </c>
      <c r="AP50" s="60">
        <f>SUM(AM50:AO50)</f>
        <v/>
      </c>
    </row>
    <row r="51" ht="20" customHeight="1">
      <c r="A51" s="16" t="inlineStr">
        <is>
          <t>CALENDARIO DE DEUDA</t>
        </is>
      </c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</row>
    <row r="52">
      <c r="A52" s="6" t="inlineStr">
        <is>
          <t>Deuda inicial</t>
        </is>
      </c>
      <c r="B52" s="24" t="inlineStr">
        <is>
          <t>€</t>
        </is>
      </c>
      <c r="C52" s="60">
        <f>LoanAmount</f>
        <v/>
      </c>
      <c r="D52" s="60">
        <f>C55</f>
        <v/>
      </c>
      <c r="E52" s="60">
        <f>D55</f>
        <v/>
      </c>
      <c r="F52" s="60">
        <f>E55</f>
        <v/>
      </c>
      <c r="G52" s="60">
        <f>F55</f>
        <v/>
      </c>
      <c r="H52" s="60">
        <f>G55</f>
        <v/>
      </c>
      <c r="I52" s="60">
        <f>H55</f>
        <v/>
      </c>
      <c r="J52" s="60">
        <f>I55</f>
        <v/>
      </c>
      <c r="K52" s="60">
        <f>J55</f>
        <v/>
      </c>
      <c r="L52" s="60">
        <f>K55</f>
        <v/>
      </c>
      <c r="M52" s="60">
        <f>L55</f>
        <v/>
      </c>
      <c r="N52" s="60">
        <f>M55</f>
        <v/>
      </c>
      <c r="O52" s="60">
        <f>N55</f>
        <v/>
      </c>
      <c r="P52" s="60">
        <f>O55</f>
        <v/>
      </c>
      <c r="Q52" s="60">
        <f>P55</f>
        <v/>
      </c>
      <c r="R52" s="60">
        <f>Q55</f>
        <v/>
      </c>
      <c r="S52" s="60">
        <f>R55</f>
        <v/>
      </c>
      <c r="T52" s="60">
        <f>S55</f>
        <v/>
      </c>
      <c r="U52" s="60">
        <f>T55</f>
        <v/>
      </c>
      <c r="V52" s="60">
        <f>U55</f>
        <v/>
      </c>
      <c r="W52" s="60">
        <f>V55</f>
        <v/>
      </c>
      <c r="X52" s="60">
        <f>W55</f>
        <v/>
      </c>
      <c r="Y52" s="60">
        <f>X55</f>
        <v/>
      </c>
      <c r="Z52" s="60">
        <f>Y55</f>
        <v/>
      </c>
      <c r="AA52" s="60">
        <f>Z55</f>
        <v/>
      </c>
      <c r="AB52" s="60">
        <f>AA55</f>
        <v/>
      </c>
      <c r="AC52" s="60">
        <f>AB55</f>
        <v/>
      </c>
      <c r="AD52" s="60">
        <f>AC55</f>
        <v/>
      </c>
      <c r="AE52" s="60">
        <f>AD55</f>
        <v/>
      </c>
      <c r="AF52" s="60">
        <f>AE55</f>
        <v/>
      </c>
      <c r="AG52" s="60">
        <f>AF55</f>
        <v/>
      </c>
      <c r="AH52" s="60">
        <f>AG55</f>
        <v/>
      </c>
      <c r="AI52" s="60">
        <f>AH55</f>
        <v/>
      </c>
      <c r="AJ52" s="60">
        <f>AI55</f>
        <v/>
      </c>
      <c r="AK52" s="60">
        <f>AJ55</f>
        <v/>
      </c>
      <c r="AL52" s="60">
        <f>AK55</f>
        <v/>
      </c>
      <c r="AM52" s="60">
        <f>N52</f>
        <v/>
      </c>
      <c r="AN52" s="60">
        <f>Z52</f>
        <v/>
      </c>
      <c r="AO52" s="60">
        <f>AL52</f>
        <v/>
      </c>
      <c r="AP52" s="60">
        <f>AO52</f>
        <v/>
      </c>
    </row>
    <row r="53">
      <c r="A53" s="6" t="inlineStr">
        <is>
          <t>Intereses</t>
        </is>
      </c>
      <c r="B53" s="24" t="inlineStr">
        <is>
          <t>€</t>
        </is>
      </c>
      <c r="C53" s="60">
        <f>C52*LoanRate/12</f>
        <v/>
      </c>
      <c r="D53" s="60">
        <f>D52*LoanRate/12</f>
        <v/>
      </c>
      <c r="E53" s="60">
        <f>E52*LoanRate/12</f>
        <v/>
      </c>
      <c r="F53" s="60">
        <f>F52*LoanRate/12</f>
        <v/>
      </c>
      <c r="G53" s="60">
        <f>G52*LoanRate/12</f>
        <v/>
      </c>
      <c r="H53" s="60">
        <f>H52*LoanRate/12</f>
        <v/>
      </c>
      <c r="I53" s="60">
        <f>I52*LoanRate/12</f>
        <v/>
      </c>
      <c r="J53" s="60">
        <f>J52*LoanRate/12</f>
        <v/>
      </c>
      <c r="K53" s="60">
        <f>K52*LoanRate/12</f>
        <v/>
      </c>
      <c r="L53" s="60">
        <f>L52*LoanRate/12</f>
        <v/>
      </c>
      <c r="M53" s="60">
        <f>M52*LoanRate/12</f>
        <v/>
      </c>
      <c r="N53" s="60">
        <f>N52*LoanRate/12</f>
        <v/>
      </c>
      <c r="O53" s="60">
        <f>O52*LoanRate/12</f>
        <v/>
      </c>
      <c r="P53" s="60">
        <f>P52*LoanRate/12</f>
        <v/>
      </c>
      <c r="Q53" s="60">
        <f>Q52*LoanRate/12</f>
        <v/>
      </c>
      <c r="R53" s="60">
        <f>R52*LoanRate/12</f>
        <v/>
      </c>
      <c r="S53" s="60">
        <f>S52*LoanRate/12</f>
        <v/>
      </c>
      <c r="T53" s="60">
        <f>T52*LoanRate/12</f>
        <v/>
      </c>
      <c r="U53" s="60">
        <f>U52*LoanRate/12</f>
        <v/>
      </c>
      <c r="V53" s="60">
        <f>V52*LoanRate/12</f>
        <v/>
      </c>
      <c r="W53" s="60">
        <f>W52*LoanRate/12</f>
        <v/>
      </c>
      <c r="X53" s="60">
        <f>X52*LoanRate/12</f>
        <v/>
      </c>
      <c r="Y53" s="60">
        <f>Y52*LoanRate/12</f>
        <v/>
      </c>
      <c r="Z53" s="60">
        <f>Z52*LoanRate/12</f>
        <v/>
      </c>
      <c r="AA53" s="60">
        <f>AA52*LoanRate/12</f>
        <v/>
      </c>
      <c r="AB53" s="60">
        <f>AB52*LoanRate/12</f>
        <v/>
      </c>
      <c r="AC53" s="60">
        <f>AC52*LoanRate/12</f>
        <v/>
      </c>
      <c r="AD53" s="60">
        <f>AD52*LoanRate/12</f>
        <v/>
      </c>
      <c r="AE53" s="60">
        <f>AE52*LoanRate/12</f>
        <v/>
      </c>
      <c r="AF53" s="60">
        <f>AF52*LoanRate/12</f>
        <v/>
      </c>
      <c r="AG53" s="60">
        <f>AG52*LoanRate/12</f>
        <v/>
      </c>
      <c r="AH53" s="60">
        <f>AH52*LoanRate/12</f>
        <v/>
      </c>
      <c r="AI53" s="60">
        <f>AI52*LoanRate/12</f>
        <v/>
      </c>
      <c r="AJ53" s="60">
        <f>AJ52*LoanRate/12</f>
        <v/>
      </c>
      <c r="AK53" s="60">
        <f>AK52*LoanRate/12</f>
        <v/>
      </c>
      <c r="AL53" s="60">
        <f>AL52*LoanRate/12</f>
        <v/>
      </c>
      <c r="AM53" s="60">
        <f>SUM(C53:N53)</f>
        <v/>
      </c>
      <c r="AN53" s="60">
        <f>SUM(O53:Z53)</f>
        <v/>
      </c>
      <c r="AO53" s="60">
        <f>SUM(AA53:AL53)</f>
        <v/>
      </c>
      <c r="AP53" s="60">
        <f>SUM(AM53:AO53)</f>
        <v/>
      </c>
    </row>
    <row r="54">
      <c r="A54" s="6" t="inlineStr">
        <is>
          <t>Principal</t>
        </is>
      </c>
      <c r="B54" s="24" t="inlineStr">
        <is>
          <t>€</t>
        </is>
      </c>
      <c r="C54" s="60">
        <f>MIN(LoanPayment-C53,C52)</f>
        <v/>
      </c>
      <c r="D54" s="60">
        <f>MIN(LoanPayment-D53,D52)</f>
        <v/>
      </c>
      <c r="E54" s="60">
        <f>MIN(LoanPayment-E53,E52)</f>
        <v/>
      </c>
      <c r="F54" s="60">
        <f>MIN(LoanPayment-F53,F52)</f>
        <v/>
      </c>
      <c r="G54" s="60">
        <f>MIN(LoanPayment-G53,G52)</f>
        <v/>
      </c>
      <c r="H54" s="60">
        <f>MIN(LoanPayment-H53,H52)</f>
        <v/>
      </c>
      <c r="I54" s="60">
        <f>MIN(LoanPayment-I53,I52)</f>
        <v/>
      </c>
      <c r="J54" s="60">
        <f>MIN(LoanPayment-J53,J52)</f>
        <v/>
      </c>
      <c r="K54" s="60">
        <f>MIN(LoanPayment-K53,K52)</f>
        <v/>
      </c>
      <c r="L54" s="60">
        <f>MIN(LoanPayment-L53,L52)</f>
        <v/>
      </c>
      <c r="M54" s="60">
        <f>MIN(LoanPayment-M53,M52)</f>
        <v/>
      </c>
      <c r="N54" s="60">
        <f>MIN(LoanPayment-N53,N52)</f>
        <v/>
      </c>
      <c r="O54" s="60">
        <f>MIN(LoanPayment-O53,O52)</f>
        <v/>
      </c>
      <c r="P54" s="60">
        <f>MIN(LoanPayment-P53,P52)</f>
        <v/>
      </c>
      <c r="Q54" s="60">
        <f>MIN(LoanPayment-Q53,Q52)</f>
        <v/>
      </c>
      <c r="R54" s="60">
        <f>MIN(LoanPayment-R53,R52)</f>
        <v/>
      </c>
      <c r="S54" s="60">
        <f>MIN(LoanPayment-S53,S52)</f>
        <v/>
      </c>
      <c r="T54" s="60">
        <f>MIN(LoanPayment-T53,T52)</f>
        <v/>
      </c>
      <c r="U54" s="60">
        <f>MIN(LoanPayment-U53,U52)</f>
        <v/>
      </c>
      <c r="V54" s="60">
        <f>MIN(LoanPayment-V53,V52)</f>
        <v/>
      </c>
      <c r="W54" s="60">
        <f>MIN(LoanPayment-W53,W52)</f>
        <v/>
      </c>
      <c r="X54" s="60">
        <f>MIN(LoanPayment-X53,X52)</f>
        <v/>
      </c>
      <c r="Y54" s="60">
        <f>MIN(LoanPayment-Y53,Y52)</f>
        <v/>
      </c>
      <c r="Z54" s="60">
        <f>MIN(LoanPayment-Z53,Z52)</f>
        <v/>
      </c>
      <c r="AA54" s="60">
        <f>MIN(LoanPayment-AA53,AA52)</f>
        <v/>
      </c>
      <c r="AB54" s="60">
        <f>MIN(LoanPayment-AB53,AB52)</f>
        <v/>
      </c>
      <c r="AC54" s="60">
        <f>MIN(LoanPayment-AC53,AC52)</f>
        <v/>
      </c>
      <c r="AD54" s="60">
        <f>MIN(LoanPayment-AD53,AD52)</f>
        <v/>
      </c>
      <c r="AE54" s="60">
        <f>MIN(LoanPayment-AE53,AE52)</f>
        <v/>
      </c>
      <c r="AF54" s="60">
        <f>MIN(LoanPayment-AF53,AF52)</f>
        <v/>
      </c>
      <c r="AG54" s="60">
        <f>MIN(LoanPayment-AG53,AG52)</f>
        <v/>
      </c>
      <c r="AH54" s="60">
        <f>MIN(LoanPayment-AH53,AH52)</f>
        <v/>
      </c>
      <c r="AI54" s="60">
        <f>MIN(LoanPayment-AI53,AI52)</f>
        <v/>
      </c>
      <c r="AJ54" s="60">
        <f>MIN(LoanPayment-AJ53,AJ52)</f>
        <v/>
      </c>
      <c r="AK54" s="60">
        <f>MIN(LoanPayment-AK53,AK52)</f>
        <v/>
      </c>
      <c r="AL54" s="60">
        <f>MIN(LoanPayment-AL53,AL52)</f>
        <v/>
      </c>
      <c r="AM54" s="60">
        <f>SUM(C54:N54)</f>
        <v/>
      </c>
      <c r="AN54" s="60">
        <f>SUM(O54:Z54)</f>
        <v/>
      </c>
      <c r="AO54" s="60">
        <f>SUM(AA54:AL54)</f>
        <v/>
      </c>
      <c r="AP54" s="60">
        <f>SUM(AM54:AO54)</f>
        <v/>
      </c>
    </row>
    <row r="55">
      <c r="A55" s="6" t="inlineStr">
        <is>
          <t>Deuda final</t>
        </is>
      </c>
      <c r="B55" s="24" t="inlineStr">
        <is>
          <t>€</t>
        </is>
      </c>
      <c r="C55" s="59">
        <f>C52-C54</f>
        <v/>
      </c>
      <c r="D55" s="59">
        <f>D52-D54</f>
        <v/>
      </c>
      <c r="E55" s="59">
        <f>E52-E54</f>
        <v/>
      </c>
      <c r="F55" s="59">
        <f>F52-F54</f>
        <v/>
      </c>
      <c r="G55" s="59">
        <f>G52-G54</f>
        <v/>
      </c>
      <c r="H55" s="59">
        <f>H52-H54</f>
        <v/>
      </c>
      <c r="I55" s="59">
        <f>I52-I54</f>
        <v/>
      </c>
      <c r="J55" s="59">
        <f>J52-J54</f>
        <v/>
      </c>
      <c r="K55" s="59">
        <f>K52-K54</f>
        <v/>
      </c>
      <c r="L55" s="59">
        <f>L52-L54</f>
        <v/>
      </c>
      <c r="M55" s="59">
        <f>M52-M54</f>
        <v/>
      </c>
      <c r="N55" s="59">
        <f>N52-N54</f>
        <v/>
      </c>
      <c r="O55" s="59">
        <f>O52-O54</f>
        <v/>
      </c>
      <c r="P55" s="59">
        <f>P52-P54</f>
        <v/>
      </c>
      <c r="Q55" s="59">
        <f>Q52-Q54</f>
        <v/>
      </c>
      <c r="R55" s="59">
        <f>R52-R54</f>
        <v/>
      </c>
      <c r="S55" s="59">
        <f>S52-S54</f>
        <v/>
      </c>
      <c r="T55" s="59">
        <f>T52-T54</f>
        <v/>
      </c>
      <c r="U55" s="59">
        <f>U52-U54</f>
        <v/>
      </c>
      <c r="V55" s="59">
        <f>V52-V54</f>
        <v/>
      </c>
      <c r="W55" s="59">
        <f>W52-W54</f>
        <v/>
      </c>
      <c r="X55" s="59">
        <f>X52-X54</f>
        <v/>
      </c>
      <c r="Y55" s="59">
        <f>Y52-Y54</f>
        <v/>
      </c>
      <c r="Z55" s="59">
        <f>Z52-Z54</f>
        <v/>
      </c>
      <c r="AA55" s="59">
        <f>AA52-AA54</f>
        <v/>
      </c>
      <c r="AB55" s="59">
        <f>AB52-AB54</f>
        <v/>
      </c>
      <c r="AC55" s="59">
        <f>AC52-AC54</f>
        <v/>
      </c>
      <c r="AD55" s="59">
        <f>AD52-AD54</f>
        <v/>
      </c>
      <c r="AE55" s="59">
        <f>AE52-AE54</f>
        <v/>
      </c>
      <c r="AF55" s="59">
        <f>AF52-AF54</f>
        <v/>
      </c>
      <c r="AG55" s="59">
        <f>AG52-AG54</f>
        <v/>
      </c>
      <c r="AH55" s="59">
        <f>AH52-AH54</f>
        <v/>
      </c>
      <c r="AI55" s="59">
        <f>AI52-AI54</f>
        <v/>
      </c>
      <c r="AJ55" s="59">
        <f>AJ52-AJ54</f>
        <v/>
      </c>
      <c r="AK55" s="59">
        <f>AK52-AK54</f>
        <v/>
      </c>
      <c r="AL55" s="59">
        <f>AL52-AL54</f>
        <v/>
      </c>
      <c r="AM55" s="59">
        <f>N55</f>
        <v/>
      </c>
      <c r="AN55" s="59">
        <f>Z55</f>
        <v/>
      </c>
      <c r="AO55" s="59">
        <f>AL55</f>
        <v/>
      </c>
      <c r="AP55" s="59">
        <f>AO55</f>
        <v/>
      </c>
    </row>
    <row r="56">
      <c r="A56" s="6" t="inlineStr">
        <is>
          <t>Cuota</t>
        </is>
      </c>
      <c r="B56" s="24" t="inlineStr">
        <is>
          <t>€</t>
        </is>
      </c>
      <c r="C56" s="60">
        <f>LoanPayment</f>
        <v/>
      </c>
      <c r="D56" s="60">
        <f>LoanPayment</f>
        <v/>
      </c>
      <c r="E56" s="60">
        <f>LoanPayment</f>
        <v/>
      </c>
      <c r="F56" s="60">
        <f>LoanPayment</f>
        <v/>
      </c>
      <c r="G56" s="60">
        <f>LoanPayment</f>
        <v/>
      </c>
      <c r="H56" s="60">
        <f>LoanPayment</f>
        <v/>
      </c>
      <c r="I56" s="60">
        <f>LoanPayment</f>
        <v/>
      </c>
      <c r="J56" s="60">
        <f>LoanPayment</f>
        <v/>
      </c>
      <c r="K56" s="60">
        <f>LoanPayment</f>
        <v/>
      </c>
      <c r="L56" s="60">
        <f>LoanPayment</f>
        <v/>
      </c>
      <c r="M56" s="60">
        <f>LoanPayment</f>
        <v/>
      </c>
      <c r="N56" s="60">
        <f>LoanPayment</f>
        <v/>
      </c>
      <c r="O56" s="60">
        <f>LoanPayment</f>
        <v/>
      </c>
      <c r="P56" s="60">
        <f>LoanPayment</f>
        <v/>
      </c>
      <c r="Q56" s="60">
        <f>LoanPayment</f>
        <v/>
      </c>
      <c r="R56" s="60">
        <f>LoanPayment</f>
        <v/>
      </c>
      <c r="S56" s="60">
        <f>LoanPayment</f>
        <v/>
      </c>
      <c r="T56" s="60">
        <f>LoanPayment</f>
        <v/>
      </c>
      <c r="U56" s="60">
        <f>LoanPayment</f>
        <v/>
      </c>
      <c r="V56" s="60">
        <f>LoanPayment</f>
        <v/>
      </c>
      <c r="W56" s="60">
        <f>LoanPayment</f>
        <v/>
      </c>
      <c r="X56" s="60">
        <f>LoanPayment</f>
        <v/>
      </c>
      <c r="Y56" s="60">
        <f>LoanPayment</f>
        <v/>
      </c>
      <c r="Z56" s="60">
        <f>LoanPayment</f>
        <v/>
      </c>
      <c r="AA56" s="60">
        <f>LoanPayment</f>
        <v/>
      </c>
      <c r="AB56" s="60">
        <f>LoanPayment</f>
        <v/>
      </c>
      <c r="AC56" s="60">
        <f>LoanPayment</f>
        <v/>
      </c>
      <c r="AD56" s="60">
        <f>LoanPayment</f>
        <v/>
      </c>
      <c r="AE56" s="60">
        <f>LoanPayment</f>
        <v/>
      </c>
      <c r="AF56" s="60">
        <f>LoanPayment</f>
        <v/>
      </c>
      <c r="AG56" s="60">
        <f>LoanPayment</f>
        <v/>
      </c>
      <c r="AH56" s="60">
        <f>LoanPayment</f>
        <v/>
      </c>
      <c r="AI56" s="60">
        <f>LoanPayment</f>
        <v/>
      </c>
      <c r="AJ56" s="60">
        <f>LoanPayment</f>
        <v/>
      </c>
      <c r="AK56" s="60">
        <f>LoanPayment</f>
        <v/>
      </c>
      <c r="AL56" s="60">
        <f>LoanPayment</f>
        <v/>
      </c>
      <c r="AM56" s="60">
        <f>SUM(C56:N56)</f>
        <v/>
      </c>
      <c r="AN56" s="60">
        <f>SUM(O56:Z56)</f>
        <v/>
      </c>
      <c r="AO56" s="60">
        <f>SUM(AA56:AL56)</f>
        <v/>
      </c>
      <c r="AP56" s="60">
        <f>SUM(AM56:AO56)</f>
        <v/>
      </c>
    </row>
    <row r="57">
      <c r="A57" s="6" t="inlineStr">
        <is>
          <t>DSCR</t>
        </is>
      </c>
      <c r="B57" s="24" t="inlineStr">
        <is>
          <t>×</t>
        </is>
      </c>
      <c r="C57" s="62">
        <f>IFERROR((C26-C31)/(C53+C54),0)</f>
        <v/>
      </c>
      <c r="D57" s="62">
        <f>IFERROR((D26-D31)/(D53+D54),0)</f>
        <v/>
      </c>
      <c r="E57" s="62">
        <f>IFERROR((E26-E31)/(E53+E54),0)</f>
        <v/>
      </c>
      <c r="F57" s="62">
        <f>IFERROR((F26-F31)/(F53+F54),0)</f>
        <v/>
      </c>
      <c r="G57" s="62">
        <f>IFERROR((G26-G31)/(G53+G54),0)</f>
        <v/>
      </c>
      <c r="H57" s="62">
        <f>IFERROR((H26-H31)/(H53+H54),0)</f>
        <v/>
      </c>
      <c r="I57" s="62">
        <f>IFERROR((I26-I31)/(I53+I54),0)</f>
        <v/>
      </c>
      <c r="J57" s="62">
        <f>IFERROR((J26-J31)/(J53+J54),0)</f>
        <v/>
      </c>
      <c r="K57" s="62">
        <f>IFERROR((K26-K31)/(K53+K54),0)</f>
        <v/>
      </c>
      <c r="L57" s="62">
        <f>IFERROR((L26-L31)/(L53+L54),0)</f>
        <v/>
      </c>
      <c r="M57" s="62">
        <f>IFERROR((M26-M31)/(M53+M54),0)</f>
        <v/>
      </c>
      <c r="N57" s="62">
        <f>IFERROR((N26-N31)/(N53+N54),0)</f>
        <v/>
      </c>
      <c r="O57" s="62">
        <f>IFERROR((O26-O31)/(O53+O54),0)</f>
        <v/>
      </c>
      <c r="P57" s="62">
        <f>IFERROR((P26-P31)/(P53+P54),0)</f>
        <v/>
      </c>
      <c r="Q57" s="62">
        <f>IFERROR((Q26-Q31)/(Q53+Q54),0)</f>
        <v/>
      </c>
      <c r="R57" s="62">
        <f>IFERROR((R26-R31)/(R53+R54),0)</f>
        <v/>
      </c>
      <c r="S57" s="62">
        <f>IFERROR((S26-S31)/(S53+S54),0)</f>
        <v/>
      </c>
      <c r="T57" s="62">
        <f>IFERROR((T26-T31)/(T53+T54),0)</f>
        <v/>
      </c>
      <c r="U57" s="62">
        <f>IFERROR((U26-U31)/(U53+U54),0)</f>
        <v/>
      </c>
      <c r="V57" s="62">
        <f>IFERROR((V26-V31)/(V53+V54),0)</f>
        <v/>
      </c>
      <c r="W57" s="62">
        <f>IFERROR((W26-W31)/(W53+W54),0)</f>
        <v/>
      </c>
      <c r="X57" s="62">
        <f>IFERROR((X26-X31)/(X53+X54),0)</f>
        <v/>
      </c>
      <c r="Y57" s="62">
        <f>IFERROR((Y26-Y31)/(Y53+Y54),0)</f>
        <v/>
      </c>
      <c r="Z57" s="62">
        <f>IFERROR((Z26-Z31)/(Z53+Z54),0)</f>
        <v/>
      </c>
      <c r="AA57" s="62">
        <f>IFERROR((AA26-AA31)/(AA53+AA54),0)</f>
        <v/>
      </c>
      <c r="AB57" s="62">
        <f>IFERROR((AB26-AB31)/(AB53+AB54),0)</f>
        <v/>
      </c>
      <c r="AC57" s="62">
        <f>IFERROR((AC26-AC31)/(AC53+AC54),0)</f>
        <v/>
      </c>
      <c r="AD57" s="62">
        <f>IFERROR((AD26-AD31)/(AD53+AD54),0)</f>
        <v/>
      </c>
      <c r="AE57" s="62">
        <f>IFERROR((AE26-AE31)/(AE53+AE54),0)</f>
        <v/>
      </c>
      <c r="AF57" s="62">
        <f>IFERROR((AF26-AF31)/(AF53+AF54),0)</f>
        <v/>
      </c>
      <c r="AG57" s="62">
        <f>IFERROR((AG26-AG31)/(AG53+AG54),0)</f>
        <v/>
      </c>
      <c r="AH57" s="62">
        <f>IFERROR((AH26-AH31)/(AH53+AH54),0)</f>
        <v/>
      </c>
      <c r="AI57" s="62">
        <f>IFERROR((AI26-AI31)/(AI53+AI54),0)</f>
        <v/>
      </c>
      <c r="AJ57" s="62">
        <f>IFERROR((AJ26-AJ31)/(AJ53+AJ54),0)</f>
        <v/>
      </c>
      <c r="AK57" s="62">
        <f>IFERROR((AK26-AK31)/(AK53+AK54),0)</f>
        <v/>
      </c>
      <c r="AL57" s="62">
        <f>IFERROR((AL26-AL31)/(AL53+AL54),0)</f>
        <v/>
      </c>
      <c r="AM57" s="63">
        <f>IFERROR((AM26-AM31)/(AM53+AM54),0)</f>
        <v/>
      </c>
      <c r="AN57" s="63">
        <f>IFERROR((AN26-AN31)/(AN53+AN54),0)</f>
        <v/>
      </c>
      <c r="AO57" s="63">
        <f>IFERROR((AO26-AO31)/(AO53+AO54),0)</f>
        <v/>
      </c>
      <c r="AP57" s="63">
        <f>IFERROR((AP26-AP31)/(AP53+AP54),0)</f>
        <v/>
      </c>
    </row>
    <row r="58" ht="20" customHeight="1">
      <c r="A58" s="16" t="inlineStr">
        <is>
          <t>IMPUESTO ANUAL Y PÉRDIDAS COMPENSABLES</t>
        </is>
      </c>
      <c r="B58" s="17" t="n"/>
      <c r="C58" s="17" t="n"/>
      <c r="D58" s="17" t="n"/>
    </row>
    <row r="59">
      <c r="A59" s="23" t="inlineStr">
        <is>
          <t>Concepto</t>
        </is>
      </c>
      <c r="B59" s="23" t="inlineStr">
        <is>
          <t>2026</t>
        </is>
      </c>
      <c r="C59" s="23" t="inlineStr">
        <is>
          <t>2027</t>
        </is>
      </c>
      <c r="D59" s="23" t="inlineStr">
        <is>
          <t>2028</t>
        </is>
      </c>
      <c r="E59" s="28" t="inlineStr">
        <is>
          <t>La cuota mensual de la fila 31 es la cuota anual / 12.</t>
        </is>
      </c>
    </row>
    <row r="60">
      <c r="A60" s="30" t="inlineStr">
        <is>
          <t>EBT anual</t>
        </is>
      </c>
      <c r="B60" s="36">
        <f>AM30</f>
        <v/>
      </c>
      <c r="C60" s="36">
        <f>AN30</f>
        <v/>
      </c>
      <c r="D60" s="36">
        <f>AO30</f>
        <v/>
      </c>
    </row>
    <row r="61">
      <c r="A61" s="30" t="inlineStr">
        <is>
          <t>Pérdidas inicio (con deuda)</t>
        </is>
      </c>
      <c r="B61" s="36" t="n">
        <v>0</v>
      </c>
      <c r="C61" s="36">
        <f>B64</f>
        <v/>
      </c>
      <c r="D61" s="36">
        <f>C64</f>
        <v/>
      </c>
    </row>
    <row r="62">
      <c r="A62" s="30" t="inlineStr">
        <is>
          <t>Base imponible</t>
        </is>
      </c>
      <c r="B62" s="36">
        <f>MAX(0,B60-B61)</f>
        <v/>
      </c>
      <c r="C62" s="36">
        <f>MAX(0,C60-C61)</f>
        <v/>
      </c>
      <c r="D62" s="36">
        <f>MAX(0,D60-D61)</f>
        <v/>
      </c>
    </row>
    <row r="63">
      <c r="A63" s="30" t="inlineStr">
        <is>
          <t>Cuota</t>
        </is>
      </c>
      <c r="B63" s="36">
        <f>B62*TaxRate</f>
        <v/>
      </c>
      <c r="C63" s="36">
        <f>C62*TaxRate</f>
        <v/>
      </c>
      <c r="D63" s="36">
        <f>D62*TaxRate</f>
        <v/>
      </c>
    </row>
    <row r="64">
      <c r="A64" s="30" t="inlineStr">
        <is>
          <t>Pérdidas fin</t>
        </is>
      </c>
      <c r="B64" s="36">
        <f>B61-MIN(B61,MAX(0,B60))+MAX(0,-B60)</f>
        <v/>
      </c>
      <c r="C64" s="36">
        <f>C61-MIN(C61,MAX(0,C60))+MAX(0,-C60)</f>
        <v/>
      </c>
      <c r="D64" s="36">
        <f>D61-MIN(D61,MAX(0,D60))+MAX(0,-D60)</f>
        <v/>
      </c>
    </row>
    <row r="65">
      <c r="A65" s="30" t="inlineStr">
        <is>
          <t>EBIT anual</t>
        </is>
      </c>
      <c r="B65" s="36">
        <f>AM28</f>
        <v/>
      </c>
      <c r="C65" s="36">
        <f>AN28</f>
        <v/>
      </c>
      <c r="D65" s="36">
        <f>AO28</f>
        <v/>
      </c>
    </row>
    <row r="66">
      <c r="A66" s="30" t="inlineStr">
        <is>
          <t>Pérdidas inicio (sin deuda)</t>
        </is>
      </c>
      <c r="B66" s="36" t="n">
        <v>0</v>
      </c>
      <c r="C66" s="36">
        <f>B69</f>
        <v/>
      </c>
      <c r="D66" s="36">
        <f>C69</f>
        <v/>
      </c>
    </row>
    <row r="67">
      <c r="A67" s="30" t="inlineStr">
        <is>
          <t>Base imponible sin deuda</t>
        </is>
      </c>
      <c r="B67" s="36">
        <f>MAX(0,B65-B66)</f>
        <v/>
      </c>
      <c r="C67" s="36">
        <f>MAX(0,C65-C66)</f>
        <v/>
      </c>
      <c r="D67" s="36">
        <f>MAX(0,D65-D66)</f>
        <v/>
      </c>
    </row>
    <row r="68">
      <c r="A68" s="30" t="inlineStr">
        <is>
          <t>Cuota sin deuda</t>
        </is>
      </c>
      <c r="B68" s="36">
        <f>B67*TaxRate</f>
        <v/>
      </c>
      <c r="C68" s="36">
        <f>C67*TaxRate</f>
        <v/>
      </c>
      <c r="D68" s="36">
        <f>D67*TaxRate</f>
        <v/>
      </c>
    </row>
    <row r="69">
      <c r="A69" s="30" t="inlineStr">
        <is>
          <t>Pérdidas fin (sin deuda)</t>
        </is>
      </c>
      <c r="B69" s="36">
        <f>B66-MIN(B66,MAX(0,B65))+MAX(0,-B65)</f>
        <v/>
      </c>
      <c r="C69" s="36">
        <f>C66-MIN(C66,MAX(0,C65))+MAX(0,-C65)</f>
        <v/>
      </c>
      <c r="D69" s="36">
        <f>D66-MIN(D66,MAX(0,D65))+MAX(0,-D65)</f>
        <v/>
      </c>
    </row>
    <row r="70">
      <c r="A70" s="30" t="inlineStr">
        <is>
          <t>Escudo fiscal</t>
        </is>
      </c>
      <c r="B70" s="36">
        <f>B68-B63</f>
        <v/>
      </c>
      <c r="C70" s="36">
        <f>C68-C63</f>
        <v/>
      </c>
      <c r="D70" s="36">
        <f>D68-D63</f>
        <v/>
      </c>
    </row>
    <row r="74" ht="20" customHeight="1">
      <c r="A74" s="16" t="inlineStr">
        <is>
          <t>RESUMEN ANUAL</t>
        </is>
      </c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17" t="n"/>
      <c r="AL74" s="17" t="n"/>
      <c r="AM74" s="17" t="n"/>
      <c r="AN74" s="17" t="n"/>
      <c r="AO74" s="17" t="n"/>
      <c r="AP74" s="17" t="n"/>
    </row>
    <row r="75">
      <c r="A75" s="23" t="inlineStr">
        <is>
          <t>Métrica</t>
        </is>
      </c>
      <c r="B75" s="23" t="inlineStr">
        <is>
          <t>2026</t>
        </is>
      </c>
      <c r="C75" s="23" t="inlineStr">
        <is>
          <t>2027</t>
        </is>
      </c>
      <c r="D75" s="23" t="inlineStr">
        <is>
          <t>2028</t>
        </is>
      </c>
      <c r="E75" s="23" t="inlineStr">
        <is>
          <t>3 años</t>
        </is>
      </c>
    </row>
    <row r="76">
      <c r="A76" s="30" t="inlineStr">
        <is>
          <t>Ingresos netos</t>
        </is>
      </c>
      <c r="B76" s="36">
        <f>AM15</f>
        <v/>
      </c>
      <c r="C76" s="36">
        <f>AN15</f>
        <v/>
      </c>
      <c r="D76" s="36">
        <f>AO15</f>
        <v/>
      </c>
      <c r="E76" s="36">
        <f>SUM(B76:D76)</f>
        <v/>
      </c>
    </row>
    <row r="77">
      <c r="A77" s="30" t="inlineStr">
        <is>
          <t>COGS</t>
        </is>
      </c>
      <c r="B77" s="36">
        <f>AM16</f>
        <v/>
      </c>
      <c r="C77" s="36">
        <f>AN16</f>
        <v/>
      </c>
      <c r="D77" s="36">
        <f>AO16</f>
        <v/>
      </c>
      <c r="E77" s="36">
        <f>SUM(B77:D77)</f>
        <v/>
      </c>
    </row>
    <row r="78">
      <c r="A78" s="30" t="inlineStr">
        <is>
          <t>Margen bruto</t>
        </is>
      </c>
      <c r="B78" s="36">
        <f>AM17</f>
        <v/>
      </c>
      <c r="C78" s="36">
        <f>AN17</f>
        <v/>
      </c>
      <c r="D78" s="36">
        <f>AO17</f>
        <v/>
      </c>
      <c r="E78" s="36">
        <f>SUM(B78:D78)</f>
        <v/>
      </c>
    </row>
    <row r="79">
      <c r="A79" s="30" t="inlineStr">
        <is>
          <t>Personal</t>
        </is>
      </c>
      <c r="B79" s="36">
        <f>AM18</f>
        <v/>
      </c>
      <c r="C79" s="36">
        <f>AN18</f>
        <v/>
      </c>
      <c r="D79" s="36">
        <f>AO18</f>
        <v/>
      </c>
      <c r="E79" s="36">
        <f>SUM(B79:D79)</f>
        <v/>
      </c>
    </row>
    <row r="80">
      <c r="A80" s="30" t="inlineStr">
        <is>
          <t>Alquiler</t>
        </is>
      </c>
      <c r="B80" s="36">
        <f>AM19</f>
        <v/>
      </c>
      <c r="C80" s="36">
        <f>AN19</f>
        <v/>
      </c>
      <c r="D80" s="36">
        <f>AO19</f>
        <v/>
      </c>
      <c r="E80" s="36">
        <f>SUM(B80:D80)</f>
        <v/>
      </c>
    </row>
    <row r="81">
      <c r="A81" s="30" t="inlineStr">
        <is>
          <t>Suministros</t>
        </is>
      </c>
      <c r="B81" s="36">
        <f>AM20</f>
        <v/>
      </c>
      <c r="C81" s="36">
        <f>AN20</f>
        <v/>
      </c>
      <c r="D81" s="36">
        <f>AO20</f>
        <v/>
      </c>
      <c r="E81" s="36">
        <f>SUM(B81:D81)</f>
        <v/>
      </c>
    </row>
    <row r="82">
      <c r="A82" s="30" t="inlineStr">
        <is>
          <t>Servicios fijos</t>
        </is>
      </c>
      <c r="B82" s="36">
        <f>AM21</f>
        <v/>
      </c>
      <c r="C82" s="36">
        <f>AN21</f>
        <v/>
      </c>
      <c r="D82" s="36">
        <f>AO21</f>
        <v/>
      </c>
      <c r="E82" s="36">
        <f>SUM(B82:D82)</f>
        <v/>
      </c>
    </row>
    <row r="83">
      <c r="A83" s="30" t="inlineStr">
        <is>
          <t>Marketing fijo</t>
        </is>
      </c>
      <c r="B83" s="36">
        <f>AM22</f>
        <v/>
      </c>
      <c r="C83" s="36">
        <f>AN22</f>
        <v/>
      </c>
      <c r="D83" s="36">
        <f>AO22</f>
        <v/>
      </c>
      <c r="E83" s="36">
        <f>SUM(B83:D83)</f>
        <v/>
      </c>
    </row>
    <row r="84">
      <c r="A84" s="30" t="inlineStr">
        <is>
          <t>Marketing variable</t>
        </is>
      </c>
      <c r="B84" s="36">
        <f>AM23</f>
        <v/>
      </c>
      <c r="C84" s="36">
        <f>AN23</f>
        <v/>
      </c>
      <c r="D84" s="36">
        <f>AO23</f>
        <v/>
      </c>
      <c r="E84" s="36">
        <f>SUM(B84:D84)</f>
        <v/>
      </c>
    </row>
    <row r="85">
      <c r="A85" s="30" t="inlineStr">
        <is>
          <t>Otros gastos</t>
        </is>
      </c>
      <c r="B85" s="36">
        <f>AM24</f>
        <v/>
      </c>
      <c r="C85" s="36">
        <f>AN24</f>
        <v/>
      </c>
      <c r="D85" s="36">
        <f>AO24</f>
        <v/>
      </c>
      <c r="E85" s="36">
        <f>SUM(B85:D85)</f>
        <v/>
      </c>
    </row>
    <row r="86">
      <c r="A86" s="30" t="inlineStr">
        <is>
          <t>EBITDA</t>
        </is>
      </c>
      <c r="B86" s="36">
        <f>AM26</f>
        <v/>
      </c>
      <c r="C86" s="36">
        <f>AN26</f>
        <v/>
      </c>
      <c r="D86" s="36">
        <f>AO26</f>
        <v/>
      </c>
      <c r="E86" s="36">
        <f>SUM(B86:D86)</f>
        <v/>
      </c>
    </row>
    <row r="87">
      <c r="A87" s="30" t="inlineStr">
        <is>
          <t>Amortización</t>
        </is>
      </c>
      <c r="B87" s="36">
        <f>AM27</f>
        <v/>
      </c>
      <c r="C87" s="36">
        <f>AN27</f>
        <v/>
      </c>
      <c r="D87" s="36">
        <f>AO27</f>
        <v/>
      </c>
      <c r="E87" s="36">
        <f>SUM(B87:D87)</f>
        <v/>
      </c>
    </row>
    <row r="88">
      <c r="A88" s="30" t="inlineStr">
        <is>
          <t>EBIT</t>
        </is>
      </c>
      <c r="B88" s="36">
        <f>AM28</f>
        <v/>
      </c>
      <c r="C88" s="36">
        <f>AN28</f>
        <v/>
      </c>
      <c r="D88" s="36">
        <f>AO28</f>
        <v/>
      </c>
      <c r="E88" s="36">
        <f>SUM(B88:D88)</f>
        <v/>
      </c>
    </row>
    <row r="89">
      <c r="A89" s="30" t="inlineStr">
        <is>
          <t>Intereses</t>
        </is>
      </c>
      <c r="B89" s="36">
        <f>AM29</f>
        <v/>
      </c>
      <c r="C89" s="36">
        <f>AN29</f>
        <v/>
      </c>
      <c r="D89" s="36">
        <f>AO29</f>
        <v/>
      </c>
      <c r="E89" s="36">
        <f>SUM(B89:D89)</f>
        <v/>
      </c>
    </row>
    <row r="90">
      <c r="A90" s="30" t="inlineStr">
        <is>
          <t>EBT</t>
        </is>
      </c>
      <c r="B90" s="36">
        <f>AM30</f>
        <v/>
      </c>
      <c r="C90" s="36">
        <f>AN30</f>
        <v/>
      </c>
      <c r="D90" s="36">
        <f>AO30</f>
        <v/>
      </c>
      <c r="E90" s="36">
        <f>SUM(B90:D90)</f>
        <v/>
      </c>
    </row>
    <row r="91">
      <c r="A91" s="30" t="inlineStr">
        <is>
          <t>Impuestos</t>
        </is>
      </c>
      <c r="B91" s="36">
        <f>AM31</f>
        <v/>
      </c>
      <c r="C91" s="36">
        <f>AN31</f>
        <v/>
      </c>
      <c r="D91" s="36">
        <f>AO31</f>
        <v/>
      </c>
      <c r="E91" s="36">
        <f>SUM(B91:D91)</f>
        <v/>
      </c>
    </row>
    <row r="92">
      <c r="A92" s="30" t="inlineStr">
        <is>
          <t>Beneficio neto</t>
        </is>
      </c>
      <c r="B92" s="36">
        <f>AM32</f>
        <v/>
      </c>
      <c r="C92" s="36">
        <f>AN32</f>
        <v/>
      </c>
      <c r="D92" s="36">
        <f>AO32</f>
        <v/>
      </c>
      <c r="E92" s="36">
        <f>SUM(B92:D92)</f>
        <v/>
      </c>
    </row>
    <row r="93">
      <c r="A93" s="30" t="inlineStr">
        <is>
          <t>CFO</t>
        </is>
      </c>
      <c r="B93" s="36">
        <f>B92+B87-AM40</f>
        <v/>
      </c>
      <c r="C93" s="36">
        <f>C92+C87-AN40</f>
        <v/>
      </c>
      <c r="D93" s="36">
        <f>D92+D87-AO40</f>
        <v/>
      </c>
      <c r="E93" s="36">
        <f>SUM(B93:D93)</f>
        <v/>
      </c>
    </row>
    <row r="94">
      <c r="A94" s="30" t="inlineStr">
        <is>
          <t>Capex mantenimiento</t>
        </is>
      </c>
      <c r="B94" s="36">
        <f>AM41</f>
        <v/>
      </c>
      <c r="C94" s="36">
        <f>AN41</f>
        <v/>
      </c>
      <c r="D94" s="36">
        <f>AO41</f>
        <v/>
      </c>
      <c r="E94" s="36">
        <f>SUM(B94:D94)</f>
        <v/>
      </c>
    </row>
    <row r="95">
      <c r="A95" s="30" t="inlineStr">
        <is>
          <t>FCFF</t>
        </is>
      </c>
      <c r="B95" s="36">
        <f>AM43</f>
        <v/>
      </c>
      <c r="C95" s="36">
        <f>AN43</f>
        <v/>
      </c>
      <c r="D95" s="36">
        <f>AO43</f>
        <v/>
      </c>
      <c r="E95" s="36">
        <f>SUM(B95:D95)</f>
        <v/>
      </c>
    </row>
    <row r="96">
      <c r="A96" s="30" t="inlineStr">
        <is>
          <t>Principal</t>
        </is>
      </c>
      <c r="B96" s="36">
        <f>AM46</f>
        <v/>
      </c>
      <c r="C96" s="36">
        <f>AN46</f>
        <v/>
      </c>
      <c r="D96" s="36">
        <f>AO46</f>
        <v/>
      </c>
      <c r="E96" s="36">
        <f>SUM(B96:D96)</f>
        <v/>
      </c>
    </row>
    <row r="97">
      <c r="A97" s="30" t="inlineStr">
        <is>
          <t>FCFE</t>
        </is>
      </c>
      <c r="B97" s="36">
        <f>AM47</f>
        <v/>
      </c>
      <c r="C97" s="36">
        <f>AN47</f>
        <v/>
      </c>
      <c r="D97" s="36">
        <f>AO47</f>
        <v/>
      </c>
      <c r="E97" s="36">
        <f>SUM(B97:D97)</f>
        <v/>
      </c>
    </row>
    <row r="98">
      <c r="A98" s="30" t="inlineStr">
        <is>
          <t>Caja final</t>
        </is>
      </c>
      <c r="B98" s="36">
        <f>N48</f>
        <v/>
      </c>
      <c r="C98" s="36">
        <f>Z48</f>
        <v/>
      </c>
      <c r="D98" s="36">
        <f>AL48</f>
        <v/>
      </c>
      <c r="E98" s="36">
        <f>D98</f>
        <v/>
      </c>
    </row>
    <row r="99">
      <c r="A99" s="30" t="inlineStr">
        <is>
          <t>Tickets/día</t>
        </is>
      </c>
      <c r="B99" s="64">
        <f>AM13/AM9</f>
        <v/>
      </c>
      <c r="C99" s="64">
        <f>AN13/AN9</f>
        <v/>
      </c>
      <c r="D99" s="64">
        <f>AO13/AO9</f>
        <v/>
      </c>
      <c r="E99" s="64">
        <f>SUM(B99:D99)/3</f>
        <v/>
      </c>
    </row>
    <row r="100">
      <c r="A100" s="30" t="inlineStr">
        <is>
          <t>Ticket medio neto</t>
        </is>
      </c>
      <c r="B100" s="52">
        <f>B76/AM13</f>
        <v/>
      </c>
      <c r="C100" s="52">
        <f>C76/AN13</f>
        <v/>
      </c>
      <c r="D100" s="52">
        <f>D76/AO13</f>
        <v/>
      </c>
      <c r="E100" s="52">
        <f>E76/SUM(AM13:AO13)</f>
        <v/>
      </c>
    </row>
    <row r="101">
      <c r="A101" s="30" t="inlineStr">
        <is>
          <t>Ticket medio con IVA</t>
        </is>
      </c>
      <c r="B101" s="52">
        <f>B100*1.1</f>
        <v/>
      </c>
      <c r="C101" s="52">
        <f>C100*1.1</f>
        <v/>
      </c>
      <c r="D101" s="52">
        <f>D100*1.1</f>
        <v/>
      </c>
      <c r="E101" s="52">
        <f>E100*1.1</f>
        <v/>
      </c>
    </row>
    <row r="102">
      <c r="A102" s="30" t="inlineStr">
        <is>
          <t>Punto de equilibrio EBITDA</t>
        </is>
      </c>
      <c r="B102" s="64">
        <f>(B79+B80+B81+B82+B83+B85)/((B76-B77-B84)/AM13)/AM9</f>
        <v/>
      </c>
      <c r="C102" s="64">
        <f>(C79+C80+C81+C82+C83+C85)/((C76-C77-C84)/AN13)/AN9</f>
        <v/>
      </c>
      <c r="D102" s="64">
        <f>(D79+D80+D81+D82+D83+D85)/((D76-D77-D84)/AO13)/AO9</f>
        <v/>
      </c>
    </row>
    <row r="103">
      <c r="A103" s="30" t="inlineStr">
        <is>
          <t>Punto de equilibrio total</t>
        </is>
      </c>
      <c r="B103" s="64">
        <f>(B79+B80+B81+B82+B83+B85+B87+B89)/((B76-B77-B84)/AM13)/AM9</f>
        <v/>
      </c>
      <c r="C103" s="64">
        <f>(C79+C80+C81+C82+C83+C85+C87+C89)/((C76-C77-C84)/AN13)/AN9</f>
        <v/>
      </c>
      <c r="D103" s="64">
        <f>(D79+D80+D81+D82+D83+D85+D87+D89)/((D76-D77-D84)/AO13)/AO9</f>
        <v/>
      </c>
    </row>
    <row r="104">
      <c r="A104" s="30" t="inlineStr">
        <is>
          <t>Margen de seguridad</t>
        </is>
      </c>
      <c r="B104" s="34">
        <f>(B99-B103)/B99</f>
        <v/>
      </c>
      <c r="C104" s="34">
        <f>(C99-C103)/C99</f>
        <v/>
      </c>
      <c r="D104" s="34">
        <f>(D99-D103)/D99</f>
        <v/>
      </c>
    </row>
    <row r="105">
      <c r="A105" s="30" t="inlineStr">
        <is>
          <t>DSCR</t>
        </is>
      </c>
      <c r="B105" s="63">
        <f>(B86-B91)/(B89+B96)</f>
        <v/>
      </c>
      <c r="C105" s="63">
        <f>(C86-C91)/(C89+C96)</f>
        <v/>
      </c>
      <c r="D105" s="63">
        <f>(D86-D91)/(D89+D96)</f>
        <v/>
      </c>
    </row>
    <row r="106">
      <c r="A106" t="inlineStr">
        <is>
          <t>Cash-on-cash</t>
        </is>
      </c>
      <c r="B106" s="34">
        <f>AL110/Equity</f>
        <v/>
      </c>
      <c r="C106" s="28" t="inlineStr">
        <is>
          <t>FCFE acumulado a 36 meses / equity</t>
        </is>
      </c>
    </row>
    <row r="107">
      <c r="A107" s="28" t="inlineStr">
        <is>
          <t>Margen de seguridad = (tickets/día previstos − BE total) / tickets/día previstos.</t>
        </is>
      </c>
    </row>
    <row r="108" ht="20" customHeight="1">
      <c r="A108" s="16" t="inlineStr">
        <is>
          <t>PAYBACK</t>
        </is>
      </c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  <c r="AF108" s="17" t="n"/>
      <c r="AG108" s="17" t="n"/>
      <c r="AH108" s="17" t="n"/>
      <c r="AI108" s="17" t="n"/>
      <c r="AJ108" s="17" t="n"/>
      <c r="AK108" s="17" t="n"/>
      <c r="AL108" s="17" t="n"/>
      <c r="AM108" s="17" t="n"/>
      <c r="AN108" s="17" t="n"/>
      <c r="AO108" s="17" t="n"/>
      <c r="AP108" s="17" t="n"/>
    </row>
    <row r="109">
      <c r="A109" s="6" t="inlineStr">
        <is>
          <t>FCFF acumulado</t>
        </is>
      </c>
      <c r="B109" s="24" t="inlineStr">
        <is>
          <t>€</t>
        </is>
      </c>
      <c r="C109" s="36">
        <f>C43</f>
        <v/>
      </c>
      <c r="D109" s="36">
        <f>C109+D43</f>
        <v/>
      </c>
      <c r="E109" s="36">
        <f>D109+E43</f>
        <v/>
      </c>
      <c r="F109" s="36">
        <f>E109+F43</f>
        <v/>
      </c>
      <c r="G109" s="36">
        <f>F109+G43</f>
        <v/>
      </c>
      <c r="H109" s="36">
        <f>G109+H43</f>
        <v/>
      </c>
      <c r="I109" s="36">
        <f>H109+I43</f>
        <v/>
      </c>
      <c r="J109" s="36">
        <f>I109+J43</f>
        <v/>
      </c>
      <c r="K109" s="36">
        <f>J109+K43</f>
        <v/>
      </c>
      <c r="L109" s="36">
        <f>K109+L43</f>
        <v/>
      </c>
      <c r="M109" s="36">
        <f>L109+M43</f>
        <v/>
      </c>
      <c r="N109" s="36">
        <f>M109+N43</f>
        <v/>
      </c>
      <c r="O109" s="36">
        <f>N109+O43</f>
        <v/>
      </c>
      <c r="P109" s="36">
        <f>O109+P43</f>
        <v/>
      </c>
      <c r="Q109" s="36">
        <f>P109+Q43</f>
        <v/>
      </c>
      <c r="R109" s="36">
        <f>Q109+R43</f>
        <v/>
      </c>
      <c r="S109" s="36">
        <f>R109+S43</f>
        <v/>
      </c>
      <c r="T109" s="36">
        <f>S109+T43</f>
        <v/>
      </c>
      <c r="U109" s="36">
        <f>T109+U43</f>
        <v/>
      </c>
      <c r="V109" s="36">
        <f>U109+V43</f>
        <v/>
      </c>
      <c r="W109" s="36">
        <f>V109+W43</f>
        <v/>
      </c>
      <c r="X109" s="36">
        <f>W109+X43</f>
        <v/>
      </c>
      <c r="Y109" s="36">
        <f>X109+Y43</f>
        <v/>
      </c>
      <c r="Z109" s="36">
        <f>Y109+Z43</f>
        <v/>
      </c>
      <c r="AA109" s="36">
        <f>Z109+AA43</f>
        <v/>
      </c>
      <c r="AB109" s="36">
        <f>AA109+AB43</f>
        <v/>
      </c>
      <c r="AC109" s="36">
        <f>AB109+AC43</f>
        <v/>
      </c>
      <c r="AD109" s="36">
        <f>AC109+AD43</f>
        <v/>
      </c>
      <c r="AE109" s="36">
        <f>AD109+AE43</f>
        <v/>
      </c>
      <c r="AF109" s="36">
        <f>AE109+AF43</f>
        <v/>
      </c>
      <c r="AG109" s="36">
        <f>AF109+AG43</f>
        <v/>
      </c>
      <c r="AH109" s="36">
        <f>AG109+AH43</f>
        <v/>
      </c>
      <c r="AI109" s="36">
        <f>AH109+AI43</f>
        <v/>
      </c>
      <c r="AJ109" s="36">
        <f>AI109+AJ43</f>
        <v/>
      </c>
      <c r="AK109" s="36">
        <f>AJ109+AK43</f>
        <v/>
      </c>
      <c r="AL109" s="36">
        <f>AK109+AL43</f>
        <v/>
      </c>
    </row>
    <row r="110">
      <c r="A110" s="6" t="inlineStr">
        <is>
          <t>FCFE acumulado</t>
        </is>
      </c>
      <c r="B110" s="24" t="inlineStr">
        <is>
          <t>€</t>
        </is>
      </c>
      <c r="C110" s="36">
        <f>C47</f>
        <v/>
      </c>
      <c r="D110" s="36">
        <f>C110+D47</f>
        <v/>
      </c>
      <c r="E110" s="36">
        <f>D110+E47</f>
        <v/>
      </c>
      <c r="F110" s="36">
        <f>E110+F47</f>
        <v/>
      </c>
      <c r="G110" s="36">
        <f>F110+G47</f>
        <v/>
      </c>
      <c r="H110" s="36">
        <f>G110+H47</f>
        <v/>
      </c>
      <c r="I110" s="36">
        <f>H110+I47</f>
        <v/>
      </c>
      <c r="J110" s="36">
        <f>I110+J47</f>
        <v/>
      </c>
      <c r="K110" s="36">
        <f>J110+K47</f>
        <v/>
      </c>
      <c r="L110" s="36">
        <f>K110+L47</f>
        <v/>
      </c>
      <c r="M110" s="36">
        <f>L110+M47</f>
        <v/>
      </c>
      <c r="N110" s="36">
        <f>M110+N47</f>
        <v/>
      </c>
      <c r="O110" s="36">
        <f>N110+O47</f>
        <v/>
      </c>
      <c r="P110" s="36">
        <f>O110+P47</f>
        <v/>
      </c>
      <c r="Q110" s="36">
        <f>P110+Q47</f>
        <v/>
      </c>
      <c r="R110" s="36">
        <f>Q110+R47</f>
        <v/>
      </c>
      <c r="S110" s="36">
        <f>R110+S47</f>
        <v/>
      </c>
      <c r="T110" s="36">
        <f>S110+T47</f>
        <v/>
      </c>
      <c r="U110" s="36">
        <f>T110+U47</f>
        <v/>
      </c>
      <c r="V110" s="36">
        <f>U110+V47</f>
        <v/>
      </c>
      <c r="W110" s="36">
        <f>V110+W47</f>
        <v/>
      </c>
      <c r="X110" s="36">
        <f>W110+X47</f>
        <v/>
      </c>
      <c r="Y110" s="36">
        <f>X110+Y47</f>
        <v/>
      </c>
      <c r="Z110" s="36">
        <f>Y110+Z47</f>
        <v/>
      </c>
      <c r="AA110" s="36">
        <f>Z110+AA47</f>
        <v/>
      </c>
      <c r="AB110" s="36">
        <f>AA110+AB47</f>
        <v/>
      </c>
      <c r="AC110" s="36">
        <f>AB110+AC47</f>
        <v/>
      </c>
      <c r="AD110" s="36">
        <f>AC110+AD47</f>
        <v/>
      </c>
      <c r="AE110" s="36">
        <f>AD110+AE47</f>
        <v/>
      </c>
      <c r="AF110" s="36">
        <f>AE110+AF47</f>
        <v/>
      </c>
      <c r="AG110" s="36">
        <f>AF110+AG47</f>
        <v/>
      </c>
      <c r="AH110" s="36">
        <f>AG110+AH47</f>
        <v/>
      </c>
      <c r="AI110" s="36">
        <f>AH110+AI47</f>
        <v/>
      </c>
      <c r="AJ110" s="36">
        <f>AI110+AJ47</f>
        <v/>
      </c>
      <c r="AK110" s="36">
        <f>AJ110+AK47</f>
        <v/>
      </c>
      <c r="AL110" s="36">
        <f>AK110+AL47</f>
        <v/>
      </c>
    </row>
    <row r="111">
      <c r="A111" s="6" t="inlineStr">
        <is>
          <t>Flag payback proyecto</t>
        </is>
      </c>
      <c r="B111" s="24" t="inlineStr">
        <is>
          <t>mes</t>
        </is>
      </c>
      <c r="C111" s="37">
        <f>IF(C109&gt;=TotalCapex+WC0,C5,999)</f>
        <v/>
      </c>
      <c r="D111" s="37">
        <f>IF(D109&gt;=TotalCapex+WC0,D5,999)</f>
        <v/>
      </c>
      <c r="E111" s="37">
        <f>IF(E109&gt;=TotalCapex+WC0,E5,999)</f>
        <v/>
      </c>
      <c r="F111" s="37">
        <f>IF(F109&gt;=TotalCapex+WC0,F5,999)</f>
        <v/>
      </c>
      <c r="G111" s="37">
        <f>IF(G109&gt;=TotalCapex+WC0,G5,999)</f>
        <v/>
      </c>
      <c r="H111" s="37">
        <f>IF(H109&gt;=TotalCapex+WC0,H5,999)</f>
        <v/>
      </c>
      <c r="I111" s="37">
        <f>IF(I109&gt;=TotalCapex+WC0,I5,999)</f>
        <v/>
      </c>
      <c r="J111" s="37">
        <f>IF(J109&gt;=TotalCapex+WC0,J5,999)</f>
        <v/>
      </c>
      <c r="K111" s="37">
        <f>IF(K109&gt;=TotalCapex+WC0,K5,999)</f>
        <v/>
      </c>
      <c r="L111" s="37">
        <f>IF(L109&gt;=TotalCapex+WC0,L5,999)</f>
        <v/>
      </c>
      <c r="M111" s="37">
        <f>IF(M109&gt;=TotalCapex+WC0,M5,999)</f>
        <v/>
      </c>
      <c r="N111" s="37">
        <f>IF(N109&gt;=TotalCapex+WC0,N5,999)</f>
        <v/>
      </c>
      <c r="O111" s="37">
        <f>IF(O109&gt;=TotalCapex+WC0,O5,999)</f>
        <v/>
      </c>
      <c r="P111" s="37">
        <f>IF(P109&gt;=TotalCapex+WC0,P5,999)</f>
        <v/>
      </c>
      <c r="Q111" s="37">
        <f>IF(Q109&gt;=TotalCapex+WC0,Q5,999)</f>
        <v/>
      </c>
      <c r="R111" s="37">
        <f>IF(R109&gt;=TotalCapex+WC0,R5,999)</f>
        <v/>
      </c>
      <c r="S111" s="37">
        <f>IF(S109&gt;=TotalCapex+WC0,S5,999)</f>
        <v/>
      </c>
      <c r="T111" s="37">
        <f>IF(T109&gt;=TotalCapex+WC0,T5,999)</f>
        <v/>
      </c>
      <c r="U111" s="37">
        <f>IF(U109&gt;=TotalCapex+WC0,U5,999)</f>
        <v/>
      </c>
      <c r="V111" s="37">
        <f>IF(V109&gt;=TotalCapex+WC0,V5,999)</f>
        <v/>
      </c>
      <c r="W111" s="37">
        <f>IF(W109&gt;=TotalCapex+WC0,W5,999)</f>
        <v/>
      </c>
      <c r="X111" s="37">
        <f>IF(X109&gt;=TotalCapex+WC0,X5,999)</f>
        <v/>
      </c>
      <c r="Y111" s="37">
        <f>IF(Y109&gt;=TotalCapex+WC0,Y5,999)</f>
        <v/>
      </c>
      <c r="Z111" s="37">
        <f>IF(Z109&gt;=TotalCapex+WC0,Z5,999)</f>
        <v/>
      </c>
      <c r="AA111" s="37">
        <f>IF(AA109&gt;=TotalCapex+WC0,AA5,999)</f>
        <v/>
      </c>
      <c r="AB111" s="37">
        <f>IF(AB109&gt;=TotalCapex+WC0,AB5,999)</f>
        <v/>
      </c>
      <c r="AC111" s="37">
        <f>IF(AC109&gt;=TotalCapex+WC0,AC5,999)</f>
        <v/>
      </c>
      <c r="AD111" s="37">
        <f>IF(AD109&gt;=TotalCapex+WC0,AD5,999)</f>
        <v/>
      </c>
      <c r="AE111" s="37">
        <f>IF(AE109&gt;=TotalCapex+WC0,AE5,999)</f>
        <v/>
      </c>
      <c r="AF111" s="37">
        <f>IF(AF109&gt;=TotalCapex+WC0,AF5,999)</f>
        <v/>
      </c>
      <c r="AG111" s="37">
        <f>IF(AG109&gt;=TotalCapex+WC0,AG5,999)</f>
        <v/>
      </c>
      <c r="AH111" s="37">
        <f>IF(AH109&gt;=TotalCapex+WC0,AH5,999)</f>
        <v/>
      </c>
      <c r="AI111" s="37">
        <f>IF(AI109&gt;=TotalCapex+WC0,AI5,999)</f>
        <v/>
      </c>
      <c r="AJ111" s="37">
        <f>IF(AJ109&gt;=TotalCapex+WC0,AJ5,999)</f>
        <v/>
      </c>
      <c r="AK111" s="37">
        <f>IF(AK109&gt;=TotalCapex+WC0,AK5,999)</f>
        <v/>
      </c>
      <c r="AL111" s="37">
        <f>IF(AL109&gt;=TotalCapex+WC0,AL5,999)</f>
        <v/>
      </c>
    </row>
    <row r="112">
      <c r="A112" s="6" t="inlineStr">
        <is>
          <t>Flag payback equity</t>
        </is>
      </c>
      <c r="B112" s="24" t="inlineStr">
        <is>
          <t>mes</t>
        </is>
      </c>
      <c r="C112" s="37">
        <f>IF(C110&gt;=Equity,C5,999)</f>
        <v/>
      </c>
      <c r="D112" s="37">
        <f>IF(D110&gt;=Equity,D5,999)</f>
        <v/>
      </c>
      <c r="E112" s="37">
        <f>IF(E110&gt;=Equity,E5,999)</f>
        <v/>
      </c>
      <c r="F112" s="37">
        <f>IF(F110&gt;=Equity,F5,999)</f>
        <v/>
      </c>
      <c r="G112" s="37">
        <f>IF(G110&gt;=Equity,G5,999)</f>
        <v/>
      </c>
      <c r="H112" s="37">
        <f>IF(H110&gt;=Equity,H5,999)</f>
        <v/>
      </c>
      <c r="I112" s="37">
        <f>IF(I110&gt;=Equity,I5,999)</f>
        <v/>
      </c>
      <c r="J112" s="37">
        <f>IF(J110&gt;=Equity,J5,999)</f>
        <v/>
      </c>
      <c r="K112" s="37">
        <f>IF(K110&gt;=Equity,K5,999)</f>
        <v/>
      </c>
      <c r="L112" s="37">
        <f>IF(L110&gt;=Equity,L5,999)</f>
        <v/>
      </c>
      <c r="M112" s="37">
        <f>IF(M110&gt;=Equity,M5,999)</f>
        <v/>
      </c>
      <c r="N112" s="37">
        <f>IF(N110&gt;=Equity,N5,999)</f>
        <v/>
      </c>
      <c r="O112" s="37">
        <f>IF(O110&gt;=Equity,O5,999)</f>
        <v/>
      </c>
      <c r="P112" s="37">
        <f>IF(P110&gt;=Equity,P5,999)</f>
        <v/>
      </c>
      <c r="Q112" s="37">
        <f>IF(Q110&gt;=Equity,Q5,999)</f>
        <v/>
      </c>
      <c r="R112" s="37">
        <f>IF(R110&gt;=Equity,R5,999)</f>
        <v/>
      </c>
      <c r="S112" s="37">
        <f>IF(S110&gt;=Equity,S5,999)</f>
        <v/>
      </c>
      <c r="T112" s="37">
        <f>IF(T110&gt;=Equity,T5,999)</f>
        <v/>
      </c>
      <c r="U112" s="37">
        <f>IF(U110&gt;=Equity,U5,999)</f>
        <v/>
      </c>
      <c r="V112" s="37">
        <f>IF(V110&gt;=Equity,V5,999)</f>
        <v/>
      </c>
      <c r="W112" s="37">
        <f>IF(W110&gt;=Equity,W5,999)</f>
        <v/>
      </c>
      <c r="X112" s="37">
        <f>IF(X110&gt;=Equity,X5,999)</f>
        <v/>
      </c>
      <c r="Y112" s="37">
        <f>IF(Y110&gt;=Equity,Y5,999)</f>
        <v/>
      </c>
      <c r="Z112" s="37">
        <f>IF(Z110&gt;=Equity,Z5,999)</f>
        <v/>
      </c>
      <c r="AA112" s="37">
        <f>IF(AA110&gt;=Equity,AA5,999)</f>
        <v/>
      </c>
      <c r="AB112" s="37">
        <f>IF(AB110&gt;=Equity,AB5,999)</f>
        <v/>
      </c>
      <c r="AC112" s="37">
        <f>IF(AC110&gt;=Equity,AC5,999)</f>
        <v/>
      </c>
      <c r="AD112" s="37">
        <f>IF(AD110&gt;=Equity,AD5,999)</f>
        <v/>
      </c>
      <c r="AE112" s="37">
        <f>IF(AE110&gt;=Equity,AE5,999)</f>
        <v/>
      </c>
      <c r="AF112" s="37">
        <f>IF(AF110&gt;=Equity,AF5,999)</f>
        <v/>
      </c>
      <c r="AG112" s="37">
        <f>IF(AG110&gt;=Equity,AG5,999)</f>
        <v/>
      </c>
      <c r="AH112" s="37">
        <f>IF(AH110&gt;=Equity,AH5,999)</f>
        <v/>
      </c>
      <c r="AI112" s="37">
        <f>IF(AI110&gt;=Equity,AI5,999)</f>
        <v/>
      </c>
      <c r="AJ112" s="37">
        <f>IF(AJ110&gt;=Equity,AJ5,999)</f>
        <v/>
      </c>
      <c r="AK112" s="37">
        <f>IF(AK110&gt;=Equity,AK5,999)</f>
        <v/>
      </c>
      <c r="AL112" s="37">
        <f>IF(AL110&gt;=Equity,AL5,999)</f>
        <v/>
      </c>
    </row>
    <row r="113">
      <c r="A113" t="inlineStr">
        <is>
          <t>Payback proyecto (meses)</t>
        </is>
      </c>
      <c r="B113" s="65">
        <f>IF(MIN(C111:AL111)=999,"&gt;36",MIN(C111:AL111))</f>
        <v/>
      </c>
      <c r="C113" s="28" t="inlineStr">
        <is>
          <t>Recuperación del proyecto: capex 132.000 € + capital circulante inicial 6.500 €.</t>
        </is>
      </c>
    </row>
    <row r="114">
      <c r="A114" t="inlineStr">
        <is>
          <t>Payback equity (meses)</t>
        </is>
      </c>
      <c r="B114" s="65">
        <f>IF(MIN(C112:AL112)=999,"&gt;36",MIN(C112:AL112))</f>
        <v/>
      </c>
      <c r="C114" s="28" t="inlineStr">
        <is>
          <t>Recuperación del accionista: equity aportado 90.000 €.</t>
        </is>
      </c>
    </row>
    <row r="116" ht="20" customHeight="1">
      <c r="A116" s="16" t="inlineStr">
        <is>
          <t>RENTABILIDAD POR PRODUCTO</t>
        </is>
      </c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7" t="n"/>
      <c r="AG116" s="17" t="n"/>
      <c r="AH116" s="17" t="n"/>
      <c r="AI116" s="17" t="n"/>
      <c r="AJ116" s="17" t="n"/>
      <c r="AK116" s="17" t="n"/>
      <c r="AL116" s="17" t="n"/>
      <c r="AM116" s="17" t="n"/>
      <c r="AN116" s="17" t="n"/>
      <c r="AO116" s="17" t="n"/>
      <c r="AP116" s="17" t="n"/>
    </row>
    <row r="117">
      <c r="A117" s="23" t="inlineStr">
        <is>
          <t>Producto — 2026</t>
        </is>
      </c>
      <c r="B117" s="23" t="inlineStr">
        <is>
          <t>Unidades</t>
        </is>
      </c>
      <c r="C117" s="23" t="inlineStr">
        <is>
          <t>Ingresos</t>
        </is>
      </c>
      <c r="D117" s="23" t="inlineStr">
        <is>
          <t>COGS</t>
        </is>
      </c>
      <c r="E117" s="23" t="inlineStr">
        <is>
          <t>Margen bruto</t>
        </is>
      </c>
      <c r="F117" s="23" t="inlineStr">
        <is>
          <t>Margen %</t>
        </is>
      </c>
    </row>
    <row r="118">
      <c r="A118" t="inlineStr">
        <is>
          <t>Espresso</t>
        </is>
      </c>
      <c r="B118" s="27">
        <f>$AM$14*Productos!$H5</f>
        <v/>
      </c>
      <c r="C118" s="36">
        <f>B118*Productos!$F5</f>
        <v/>
      </c>
      <c r="D118" s="36">
        <f>B118*Productos!$J5</f>
        <v/>
      </c>
      <c r="E118" s="36">
        <f>C118-D118</f>
        <v/>
      </c>
      <c r="F118" s="34">
        <f>IFERROR(E118/C118,0)</f>
        <v/>
      </c>
    </row>
    <row r="119">
      <c r="A119" t="inlineStr">
        <is>
          <t>Flat white</t>
        </is>
      </c>
      <c r="B119" s="27">
        <f>$AM$14*Productos!$H6</f>
        <v/>
      </c>
      <c r="C119" s="36">
        <f>B119*Productos!$F6</f>
        <v/>
      </c>
      <c r="D119" s="36">
        <f>B119*Productos!$J6</f>
        <v/>
      </c>
      <c r="E119" s="36">
        <f>C119-D119</f>
        <v/>
      </c>
      <c r="F119" s="34">
        <f>IFERROR(E119/C119,0)</f>
        <v/>
      </c>
    </row>
    <row r="120">
      <c r="A120" t="inlineStr">
        <is>
          <t>Cappuccino</t>
        </is>
      </c>
      <c r="B120" s="27">
        <f>$AM$14*Productos!$H7</f>
        <v/>
      </c>
      <c r="C120" s="36">
        <f>B120*Productos!$F7</f>
        <v/>
      </c>
      <c r="D120" s="36">
        <f>B120*Productos!$J7</f>
        <v/>
      </c>
      <c r="E120" s="36">
        <f>C120-D120</f>
        <v/>
      </c>
      <c r="F120" s="34">
        <f>IFERROR(E120/C120,0)</f>
        <v/>
      </c>
    </row>
    <row r="121">
      <c r="A121" t="inlineStr">
        <is>
          <t>Latte</t>
        </is>
      </c>
      <c r="B121" s="27">
        <f>$AM$14*Productos!$H8</f>
        <v/>
      </c>
      <c r="C121" s="36">
        <f>B121*Productos!$F8</f>
        <v/>
      </c>
      <c r="D121" s="36">
        <f>B121*Productos!$J8</f>
        <v/>
      </c>
      <c r="E121" s="36">
        <f>C121-D121</f>
        <v/>
      </c>
      <c r="F121" s="34">
        <f>IFERROR(E121/C121,0)</f>
        <v/>
      </c>
    </row>
    <row r="122">
      <c r="A122" t="inlineStr">
        <is>
          <t>Cold brew</t>
        </is>
      </c>
      <c r="B122" s="27">
        <f>$AM$14*Productos!$H9</f>
        <v/>
      </c>
      <c r="C122" s="36">
        <f>B122*Productos!$F9</f>
        <v/>
      </c>
      <c r="D122" s="36">
        <f>B122*Productos!$J9</f>
        <v/>
      </c>
      <c r="E122" s="36">
        <f>C122-D122</f>
        <v/>
      </c>
      <c r="F122" s="34">
        <f>IFERROR(E122/C122,0)</f>
        <v/>
      </c>
    </row>
    <row r="123">
      <c r="A123" t="inlineStr">
        <is>
          <t>Croissant</t>
        </is>
      </c>
      <c r="B123" s="27">
        <f>$AM$14*Productos!$H10</f>
        <v/>
      </c>
      <c r="C123" s="36">
        <f>B123*Productos!$F10</f>
        <v/>
      </c>
      <c r="D123" s="36">
        <f>B123*Productos!$J10</f>
        <v/>
      </c>
      <c r="E123" s="36">
        <f>C123-D123</f>
        <v/>
      </c>
      <c r="F123" s="34">
        <f>IFERROR(E123/C123,0)</f>
        <v/>
      </c>
    </row>
    <row r="124">
      <c r="A124" t="inlineStr">
        <is>
          <t>Tostada</t>
        </is>
      </c>
      <c r="B124" s="27">
        <f>$AM$14*Productos!$H11</f>
        <v/>
      </c>
      <c r="C124" s="36">
        <f>B124*Productos!$F11</f>
        <v/>
      </c>
      <c r="D124" s="36">
        <f>B124*Productos!$J11</f>
        <v/>
      </c>
      <c r="E124" s="36">
        <f>C124-D124</f>
        <v/>
      </c>
      <c r="F124" s="34">
        <f>IFERROR(E124/C124,0)</f>
        <v/>
      </c>
    </row>
    <row r="125">
      <c r="A125" t="inlineStr">
        <is>
          <t>Bolsa café 250 g</t>
        </is>
      </c>
      <c r="B125" s="27">
        <f>$AM$14*Productos!$H12</f>
        <v/>
      </c>
      <c r="C125" s="36">
        <f>B125*Productos!$F12</f>
        <v/>
      </c>
      <c r="D125" s="36">
        <f>B125*Productos!$J12</f>
        <v/>
      </c>
      <c r="E125" s="36">
        <f>C125-D125</f>
        <v/>
      </c>
      <c r="F125" s="34">
        <f>IFERROR(E125/C125,0)</f>
        <v/>
      </c>
    </row>
    <row r="126">
      <c r="A126" t="inlineStr">
        <is>
          <t>Total</t>
        </is>
      </c>
      <c r="B126" s="66">
        <f>SUM(B118:B125)</f>
        <v/>
      </c>
      <c r="C126" s="49">
        <f>SUM(C118:C125)</f>
        <v/>
      </c>
      <c r="D126" s="49">
        <f>SUM(D118:D125)</f>
        <v/>
      </c>
      <c r="E126" s="49">
        <f>SUM(E118:E125)</f>
        <v/>
      </c>
      <c r="F126" s="46">
        <f>IFERROR(E126/C126,0)</f>
        <v/>
      </c>
    </row>
    <row r="128">
      <c r="A128" s="23" t="inlineStr">
        <is>
          <t>Producto — 2027</t>
        </is>
      </c>
      <c r="B128" s="23" t="inlineStr">
        <is>
          <t>Unidades</t>
        </is>
      </c>
      <c r="C128" s="23" t="inlineStr">
        <is>
          <t>Ingresos</t>
        </is>
      </c>
      <c r="D128" s="23" t="inlineStr">
        <is>
          <t>COGS</t>
        </is>
      </c>
      <c r="E128" s="23" t="inlineStr">
        <is>
          <t>Margen bruto</t>
        </is>
      </c>
      <c r="F128" s="23" t="inlineStr">
        <is>
          <t>Margen %</t>
        </is>
      </c>
    </row>
    <row r="129">
      <c r="A129" t="inlineStr">
        <is>
          <t>Espresso</t>
        </is>
      </c>
      <c r="B129" s="27">
        <f>$AN$14*Productos!$H5</f>
        <v/>
      </c>
      <c r="C129" s="36">
        <f>B129*Productos!$F5*(1+INDEX(ScenarioMatrix,3,$B$3))^1</f>
        <v/>
      </c>
      <c r="D129" s="36">
        <f>B129*Productos!$J5*(1+INDEX(ScenarioMatrix,4,$B$3))^1</f>
        <v/>
      </c>
      <c r="E129" s="36">
        <f>C129-D129</f>
        <v/>
      </c>
      <c r="F129" s="34">
        <f>IFERROR(E129/C129,0)</f>
        <v/>
      </c>
    </row>
    <row r="130">
      <c r="A130" t="inlineStr">
        <is>
          <t>Flat white</t>
        </is>
      </c>
      <c r="B130" s="27">
        <f>$AN$14*Productos!$H6</f>
        <v/>
      </c>
      <c r="C130" s="36">
        <f>B130*Productos!$F6*(1+INDEX(ScenarioMatrix,3,$B$3))^1</f>
        <v/>
      </c>
      <c r="D130" s="36">
        <f>B130*Productos!$J6*(1+INDEX(ScenarioMatrix,4,$B$3))^1</f>
        <v/>
      </c>
      <c r="E130" s="36">
        <f>C130-D130</f>
        <v/>
      </c>
      <c r="F130" s="34">
        <f>IFERROR(E130/C130,0)</f>
        <v/>
      </c>
    </row>
    <row r="131">
      <c r="A131" t="inlineStr">
        <is>
          <t>Cappuccino</t>
        </is>
      </c>
      <c r="B131" s="27">
        <f>$AN$14*Productos!$H7</f>
        <v/>
      </c>
      <c r="C131" s="36">
        <f>B131*Productos!$F7*(1+INDEX(ScenarioMatrix,3,$B$3))^1</f>
        <v/>
      </c>
      <c r="D131" s="36">
        <f>B131*Productos!$J7*(1+INDEX(ScenarioMatrix,4,$B$3))^1</f>
        <v/>
      </c>
      <c r="E131" s="36">
        <f>C131-D131</f>
        <v/>
      </c>
      <c r="F131" s="34">
        <f>IFERROR(E131/C131,0)</f>
        <v/>
      </c>
    </row>
    <row r="132">
      <c r="A132" t="inlineStr">
        <is>
          <t>Latte</t>
        </is>
      </c>
      <c r="B132" s="27">
        <f>$AN$14*Productos!$H8</f>
        <v/>
      </c>
      <c r="C132" s="36">
        <f>B132*Productos!$F8*(1+INDEX(ScenarioMatrix,3,$B$3))^1</f>
        <v/>
      </c>
      <c r="D132" s="36">
        <f>B132*Productos!$J8*(1+INDEX(ScenarioMatrix,4,$B$3))^1</f>
        <v/>
      </c>
      <c r="E132" s="36">
        <f>C132-D132</f>
        <v/>
      </c>
      <c r="F132" s="34">
        <f>IFERROR(E132/C132,0)</f>
        <v/>
      </c>
    </row>
    <row r="133">
      <c r="A133" t="inlineStr">
        <is>
          <t>Cold brew</t>
        </is>
      </c>
      <c r="B133" s="27">
        <f>$AN$14*Productos!$H9</f>
        <v/>
      </c>
      <c r="C133" s="36">
        <f>B133*Productos!$F9*(1+INDEX(ScenarioMatrix,3,$B$3))^1</f>
        <v/>
      </c>
      <c r="D133" s="36">
        <f>B133*Productos!$J9*(1+INDEX(ScenarioMatrix,4,$B$3))^1</f>
        <v/>
      </c>
      <c r="E133" s="36">
        <f>C133-D133</f>
        <v/>
      </c>
      <c r="F133" s="34">
        <f>IFERROR(E133/C133,0)</f>
        <v/>
      </c>
    </row>
    <row r="134">
      <c r="A134" t="inlineStr">
        <is>
          <t>Croissant</t>
        </is>
      </c>
      <c r="B134" s="27">
        <f>$AN$14*Productos!$H10</f>
        <v/>
      </c>
      <c r="C134" s="36">
        <f>B134*Productos!$F10*(1+INDEX(ScenarioMatrix,3,$B$3))^1</f>
        <v/>
      </c>
      <c r="D134" s="36">
        <f>B134*Productos!$J10*(1+INDEX(ScenarioMatrix,4,$B$3))^1</f>
        <v/>
      </c>
      <c r="E134" s="36">
        <f>C134-D134</f>
        <v/>
      </c>
      <c r="F134" s="34">
        <f>IFERROR(E134/C134,0)</f>
        <v/>
      </c>
    </row>
    <row r="135">
      <c r="A135" t="inlineStr">
        <is>
          <t>Tostada</t>
        </is>
      </c>
      <c r="B135" s="27">
        <f>$AN$14*Productos!$H11</f>
        <v/>
      </c>
      <c r="C135" s="36">
        <f>B135*Productos!$F11*(1+INDEX(ScenarioMatrix,3,$B$3))^1</f>
        <v/>
      </c>
      <c r="D135" s="36">
        <f>B135*Productos!$J11*(1+INDEX(ScenarioMatrix,4,$B$3))^1</f>
        <v/>
      </c>
      <c r="E135" s="36">
        <f>C135-D135</f>
        <v/>
      </c>
      <c r="F135" s="34">
        <f>IFERROR(E135/C135,0)</f>
        <v/>
      </c>
    </row>
    <row r="136">
      <c r="A136" t="inlineStr">
        <is>
          <t>Bolsa café 250 g</t>
        </is>
      </c>
      <c r="B136" s="27">
        <f>$AN$14*Productos!$H12</f>
        <v/>
      </c>
      <c r="C136" s="36">
        <f>B136*Productos!$F12*(1+INDEX(ScenarioMatrix,3,$B$3))^1</f>
        <v/>
      </c>
      <c r="D136" s="36">
        <f>B136*Productos!$J12*(1+INDEX(ScenarioMatrix,4,$B$3))^1</f>
        <v/>
      </c>
      <c r="E136" s="36">
        <f>C136-D136</f>
        <v/>
      </c>
      <c r="F136" s="34">
        <f>IFERROR(E136/C136,0)</f>
        <v/>
      </c>
    </row>
    <row r="137">
      <c r="A137" t="inlineStr">
        <is>
          <t>Total</t>
        </is>
      </c>
      <c r="B137" s="66">
        <f>SUM(B129:B136)</f>
        <v/>
      </c>
      <c r="C137" s="49">
        <f>SUM(C129:C136)</f>
        <v/>
      </c>
      <c r="D137" s="49">
        <f>SUM(D129:D136)</f>
        <v/>
      </c>
      <c r="E137" s="49">
        <f>SUM(E129:E136)</f>
        <v/>
      </c>
      <c r="F137" s="46">
        <f>IFERROR(E137/C137,0)</f>
        <v/>
      </c>
    </row>
    <row r="139">
      <c r="A139" s="23" t="inlineStr">
        <is>
          <t>Producto — 2028</t>
        </is>
      </c>
      <c r="B139" s="23" t="inlineStr">
        <is>
          <t>Unidades</t>
        </is>
      </c>
      <c r="C139" s="23" t="inlineStr">
        <is>
          <t>Ingresos</t>
        </is>
      </c>
      <c r="D139" s="23" t="inlineStr">
        <is>
          <t>COGS</t>
        </is>
      </c>
      <c r="E139" s="23" t="inlineStr">
        <is>
          <t>Margen bruto</t>
        </is>
      </c>
      <c r="F139" s="23" t="inlineStr">
        <is>
          <t>Margen %</t>
        </is>
      </c>
    </row>
    <row r="140">
      <c r="A140" t="inlineStr">
        <is>
          <t>Espresso</t>
        </is>
      </c>
      <c r="B140" s="27">
        <f>$AO$14*Productos!$H5</f>
        <v/>
      </c>
      <c r="C140" s="36">
        <f>B140*Productos!$F5*(1+INDEX(ScenarioMatrix,3,$B$3))^2</f>
        <v/>
      </c>
      <c r="D140" s="36">
        <f>B140*Productos!$J5*(1+INDEX(ScenarioMatrix,4,$B$3))^2</f>
        <v/>
      </c>
      <c r="E140" s="36">
        <f>C140-D140</f>
        <v/>
      </c>
      <c r="F140" s="34">
        <f>IFERROR(E140/C140,0)</f>
        <v/>
      </c>
    </row>
    <row r="141">
      <c r="A141" t="inlineStr">
        <is>
          <t>Flat white</t>
        </is>
      </c>
      <c r="B141" s="27">
        <f>$AO$14*Productos!$H6</f>
        <v/>
      </c>
      <c r="C141" s="36">
        <f>B141*Productos!$F6*(1+INDEX(ScenarioMatrix,3,$B$3))^2</f>
        <v/>
      </c>
      <c r="D141" s="36">
        <f>B141*Productos!$J6*(1+INDEX(ScenarioMatrix,4,$B$3))^2</f>
        <v/>
      </c>
      <c r="E141" s="36">
        <f>C141-D141</f>
        <v/>
      </c>
      <c r="F141" s="34">
        <f>IFERROR(E141/C141,0)</f>
        <v/>
      </c>
    </row>
    <row r="142">
      <c r="A142" t="inlineStr">
        <is>
          <t>Cappuccino</t>
        </is>
      </c>
      <c r="B142" s="27">
        <f>$AO$14*Productos!$H7</f>
        <v/>
      </c>
      <c r="C142" s="36">
        <f>B142*Productos!$F7*(1+INDEX(ScenarioMatrix,3,$B$3))^2</f>
        <v/>
      </c>
      <c r="D142" s="36">
        <f>B142*Productos!$J7*(1+INDEX(ScenarioMatrix,4,$B$3))^2</f>
        <v/>
      </c>
      <c r="E142" s="36">
        <f>C142-D142</f>
        <v/>
      </c>
      <c r="F142" s="34">
        <f>IFERROR(E142/C142,0)</f>
        <v/>
      </c>
    </row>
    <row r="143">
      <c r="A143" t="inlineStr">
        <is>
          <t>Latte</t>
        </is>
      </c>
      <c r="B143" s="27">
        <f>$AO$14*Productos!$H8</f>
        <v/>
      </c>
      <c r="C143" s="36">
        <f>B143*Productos!$F8*(1+INDEX(ScenarioMatrix,3,$B$3))^2</f>
        <v/>
      </c>
      <c r="D143" s="36">
        <f>B143*Productos!$J8*(1+INDEX(ScenarioMatrix,4,$B$3))^2</f>
        <v/>
      </c>
      <c r="E143" s="36">
        <f>C143-D143</f>
        <v/>
      </c>
      <c r="F143" s="34">
        <f>IFERROR(E143/C143,0)</f>
        <v/>
      </c>
    </row>
    <row r="144">
      <c r="A144" t="inlineStr">
        <is>
          <t>Cold brew</t>
        </is>
      </c>
      <c r="B144" s="27">
        <f>$AO$14*Productos!$H9</f>
        <v/>
      </c>
      <c r="C144" s="36">
        <f>B144*Productos!$F9*(1+INDEX(ScenarioMatrix,3,$B$3))^2</f>
        <v/>
      </c>
      <c r="D144" s="36">
        <f>B144*Productos!$J9*(1+INDEX(ScenarioMatrix,4,$B$3))^2</f>
        <v/>
      </c>
      <c r="E144" s="36">
        <f>C144-D144</f>
        <v/>
      </c>
      <c r="F144" s="34">
        <f>IFERROR(E144/C144,0)</f>
        <v/>
      </c>
    </row>
    <row r="145">
      <c r="A145" t="inlineStr">
        <is>
          <t>Croissant</t>
        </is>
      </c>
      <c r="B145" s="27">
        <f>$AO$14*Productos!$H10</f>
        <v/>
      </c>
      <c r="C145" s="36">
        <f>B145*Productos!$F10*(1+INDEX(ScenarioMatrix,3,$B$3))^2</f>
        <v/>
      </c>
      <c r="D145" s="36">
        <f>B145*Productos!$J10*(1+INDEX(ScenarioMatrix,4,$B$3))^2</f>
        <v/>
      </c>
      <c r="E145" s="36">
        <f>C145-D145</f>
        <v/>
      </c>
      <c r="F145" s="34">
        <f>IFERROR(E145/C145,0)</f>
        <v/>
      </c>
    </row>
    <row r="146">
      <c r="A146" t="inlineStr">
        <is>
          <t>Tostada</t>
        </is>
      </c>
      <c r="B146" s="27">
        <f>$AO$14*Productos!$H11</f>
        <v/>
      </c>
      <c r="C146" s="36">
        <f>B146*Productos!$F11*(1+INDEX(ScenarioMatrix,3,$B$3))^2</f>
        <v/>
      </c>
      <c r="D146" s="36">
        <f>B146*Productos!$J11*(1+INDEX(ScenarioMatrix,4,$B$3))^2</f>
        <v/>
      </c>
      <c r="E146" s="36">
        <f>C146-D146</f>
        <v/>
      </c>
      <c r="F146" s="34">
        <f>IFERROR(E146/C146,0)</f>
        <v/>
      </c>
    </row>
    <row r="147">
      <c r="A147" t="inlineStr">
        <is>
          <t>Bolsa café 250 g</t>
        </is>
      </c>
      <c r="B147" s="27">
        <f>$AO$14*Productos!$H12</f>
        <v/>
      </c>
      <c r="C147" s="36">
        <f>B147*Productos!$F12*(1+INDEX(ScenarioMatrix,3,$B$3))^2</f>
        <v/>
      </c>
      <c r="D147" s="36">
        <f>B147*Productos!$J12*(1+INDEX(ScenarioMatrix,4,$B$3))^2</f>
        <v/>
      </c>
      <c r="E147" s="36">
        <f>C147-D147</f>
        <v/>
      </c>
      <c r="F147" s="34">
        <f>IFERROR(E147/C147,0)</f>
        <v/>
      </c>
    </row>
    <row r="148">
      <c r="A148" t="inlineStr">
        <is>
          <t>Total</t>
        </is>
      </c>
      <c r="B148" s="66">
        <f>SUM(B140:B147)</f>
        <v/>
      </c>
      <c r="C148" s="49">
        <f>SUM(C140:C147)</f>
        <v/>
      </c>
      <c r="D148" s="49">
        <f>SUM(D140:D147)</f>
        <v/>
      </c>
      <c r="E148" s="49">
        <f>SUM(E140:E147)</f>
        <v/>
      </c>
      <c r="F148" s="46">
        <f>IFERROR(E148/C148,0)</f>
        <v/>
      </c>
    </row>
    <row r="149">
      <c r="A149" t="inlineStr">
        <is>
          <t>Check producto 2028 vs P&amp;L</t>
        </is>
      </c>
      <c r="C149" s="37">
        <f>C148-AO15</f>
        <v/>
      </c>
      <c r="D149" s="37">
        <f>D148-AO16</f>
        <v/>
      </c>
      <c r="E149" s="10">
        <f>IF(AND(ABS(C149)&lt;1,ABS(D149)&lt;1),"OK","Revisar")</f>
        <v/>
      </c>
    </row>
    <row r="150">
      <c r="A150" t="inlineStr">
        <is>
          <t>Check producto 2026 vs P&amp;L</t>
        </is>
      </c>
      <c r="C150" s="37">
        <f>C126-AM15</f>
        <v/>
      </c>
      <c r="D150" s="37">
        <f>D126-AM16</f>
        <v/>
      </c>
      <c r="E150" s="10">
        <f>IF(AND(ABS(C150)&lt;1,ABS(D150)&lt;1),"OK","Revisar")</f>
        <v/>
      </c>
    </row>
    <row r="151">
      <c r="A151" t="inlineStr">
        <is>
          <t>Check producto 2027 vs P&amp;L</t>
        </is>
      </c>
      <c r="C151" s="37">
        <f>C137-AN15</f>
        <v/>
      </c>
      <c r="D151" s="37">
        <f>D137-AN16</f>
        <v/>
      </c>
      <c r="E151" s="10">
        <f>IF(AND(ABS(C151)&lt;1,ABS(D151)&lt;1),"OK","Revisar")</f>
        <v/>
      </c>
    </row>
    <row r="153" ht="20" customHeight="1">
      <c r="A153" s="16" t="inlineStr">
        <is>
          <t>PUNTO DE EQUILIBRIO MENSUAL (AUXILIAR)</t>
        </is>
      </c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  <c r="AE153" s="17" t="n"/>
      <c r="AF153" s="17" t="n"/>
      <c r="AG153" s="17" t="n"/>
      <c r="AH153" s="17" t="n"/>
      <c r="AI153" s="17" t="n"/>
      <c r="AJ153" s="17" t="n"/>
      <c r="AK153" s="17" t="n"/>
      <c r="AL153" s="17" t="n"/>
      <c r="AM153" s="17" t="n"/>
      <c r="AN153" s="17" t="n"/>
      <c r="AO153" s="17" t="n"/>
      <c r="AP153" s="17" t="n"/>
    </row>
    <row r="154">
      <c r="A154" s="6" t="inlineStr">
        <is>
          <t>BE EBITDA mensual</t>
        </is>
      </c>
      <c r="B154" s="24" t="inlineStr">
        <is>
          <t>tickets/día</t>
        </is>
      </c>
      <c r="C154" s="57">
        <f>(C18+C19+C20+C21+C22+C24)/((C15-C16-C23)/C13)/C9</f>
        <v/>
      </c>
      <c r="D154" s="57">
        <f>(D18+D19+D20+D21+D22+D24)/((D15-D16-D23)/D13)/D9</f>
        <v/>
      </c>
      <c r="E154" s="57">
        <f>(E18+E19+E20+E21+E22+E24)/((E15-E16-E23)/E13)/E9</f>
        <v/>
      </c>
      <c r="F154" s="57">
        <f>(F18+F19+F20+F21+F22+F24)/((F15-F16-F23)/F13)/F9</f>
        <v/>
      </c>
      <c r="G154" s="57">
        <f>(G18+G19+G20+G21+G22+G24)/((G15-G16-G23)/G13)/G9</f>
        <v/>
      </c>
      <c r="H154" s="57">
        <f>(H18+H19+H20+H21+H22+H24)/((H15-H16-H23)/H13)/H9</f>
        <v/>
      </c>
      <c r="I154" s="57">
        <f>(I18+I19+I20+I21+I22+I24)/((I15-I16-I23)/I13)/I9</f>
        <v/>
      </c>
      <c r="J154" s="57">
        <f>(J18+J19+J20+J21+J22+J24)/((J15-J16-J23)/J13)/J9</f>
        <v/>
      </c>
      <c r="K154" s="57">
        <f>(K18+K19+K20+K21+K22+K24)/((K15-K16-K23)/K13)/K9</f>
        <v/>
      </c>
      <c r="L154" s="57">
        <f>(L18+L19+L20+L21+L22+L24)/((L15-L16-L23)/L13)/L9</f>
        <v/>
      </c>
      <c r="M154" s="57">
        <f>(M18+M19+M20+M21+M22+M24)/((M15-M16-M23)/M13)/M9</f>
        <v/>
      </c>
      <c r="N154" s="57">
        <f>(N18+N19+N20+N21+N22+N24)/((N15-N16-N23)/N13)/N9</f>
        <v/>
      </c>
      <c r="O154" s="57">
        <f>(O18+O19+O20+O21+O22+O24)/((O15-O16-O23)/O13)/O9</f>
        <v/>
      </c>
      <c r="P154" s="57">
        <f>(P18+P19+P20+P21+P22+P24)/((P15-P16-P23)/P13)/P9</f>
        <v/>
      </c>
      <c r="Q154" s="57">
        <f>(Q18+Q19+Q20+Q21+Q22+Q24)/((Q15-Q16-Q23)/Q13)/Q9</f>
        <v/>
      </c>
      <c r="R154" s="57">
        <f>(R18+R19+R20+R21+R22+R24)/((R15-R16-R23)/R13)/R9</f>
        <v/>
      </c>
      <c r="S154" s="57">
        <f>(S18+S19+S20+S21+S22+S24)/((S15-S16-S23)/S13)/S9</f>
        <v/>
      </c>
      <c r="T154" s="57">
        <f>(T18+T19+T20+T21+T22+T24)/((T15-T16-T23)/T13)/T9</f>
        <v/>
      </c>
      <c r="U154" s="57">
        <f>(U18+U19+U20+U21+U22+U24)/((U15-U16-U23)/U13)/U9</f>
        <v/>
      </c>
      <c r="V154" s="57">
        <f>(V18+V19+V20+V21+V22+V24)/((V15-V16-V23)/V13)/V9</f>
        <v/>
      </c>
      <c r="W154" s="57">
        <f>(W18+W19+W20+W21+W22+W24)/((W15-W16-W23)/W13)/W9</f>
        <v/>
      </c>
      <c r="X154" s="57">
        <f>(X18+X19+X20+X21+X22+X24)/((X15-X16-X23)/X13)/X9</f>
        <v/>
      </c>
      <c r="Y154" s="57">
        <f>(Y18+Y19+Y20+Y21+Y22+Y24)/((Y15-Y16-Y23)/Y13)/Y9</f>
        <v/>
      </c>
      <c r="Z154" s="57">
        <f>(Z18+Z19+Z20+Z21+Z22+Z24)/((Z15-Z16-Z23)/Z13)/Z9</f>
        <v/>
      </c>
      <c r="AA154" s="57">
        <f>(AA18+AA19+AA20+AA21+AA22+AA24)/((AA15-AA16-AA23)/AA13)/AA9</f>
        <v/>
      </c>
      <c r="AB154" s="57">
        <f>(AB18+AB19+AB20+AB21+AB22+AB24)/((AB15-AB16-AB23)/AB13)/AB9</f>
        <v/>
      </c>
      <c r="AC154" s="57">
        <f>(AC18+AC19+AC20+AC21+AC22+AC24)/((AC15-AC16-AC23)/AC13)/AC9</f>
        <v/>
      </c>
      <c r="AD154" s="57">
        <f>(AD18+AD19+AD20+AD21+AD22+AD24)/((AD15-AD16-AD23)/AD13)/AD9</f>
        <v/>
      </c>
      <c r="AE154" s="57">
        <f>(AE18+AE19+AE20+AE21+AE22+AE24)/((AE15-AE16-AE23)/AE13)/AE9</f>
        <v/>
      </c>
      <c r="AF154" s="57">
        <f>(AF18+AF19+AF20+AF21+AF22+AF24)/((AF15-AF16-AF23)/AF13)/AF9</f>
        <v/>
      </c>
      <c r="AG154" s="57">
        <f>(AG18+AG19+AG20+AG21+AG22+AG24)/((AG15-AG16-AG23)/AG13)/AG9</f>
        <v/>
      </c>
      <c r="AH154" s="57">
        <f>(AH18+AH19+AH20+AH21+AH22+AH24)/((AH15-AH16-AH23)/AH13)/AH9</f>
        <v/>
      </c>
      <c r="AI154" s="57">
        <f>(AI18+AI19+AI20+AI21+AI22+AI24)/((AI15-AI16-AI23)/AI13)/AI9</f>
        <v/>
      </c>
      <c r="AJ154" s="57">
        <f>(AJ18+AJ19+AJ20+AJ21+AJ22+AJ24)/((AJ15-AJ16-AJ23)/AJ13)/AJ9</f>
        <v/>
      </c>
      <c r="AK154" s="57">
        <f>(AK18+AK19+AK20+AK21+AK22+AK24)/((AK15-AK16-AK23)/AK13)/AK9</f>
        <v/>
      </c>
      <c r="AL154" s="57">
        <f>(AL18+AL19+AL20+AL21+AL22+AL24)/((AL15-AL16-AL23)/AL13)/AL9</f>
        <v/>
      </c>
    </row>
    <row r="155">
      <c r="A155" s="6" t="inlineStr">
        <is>
          <t>BE total mensual</t>
        </is>
      </c>
      <c r="B155" s="24" t="inlineStr">
        <is>
          <t>tickets/día</t>
        </is>
      </c>
      <c r="C155" s="57">
        <f>(C18+C19+C20+C21+C22+C24+C27+C29)/((C15-C16-C23)/C13)/C9</f>
        <v/>
      </c>
      <c r="D155" s="57">
        <f>(D18+D19+D20+D21+D22+D24+D27+D29)/((D15-D16-D23)/D13)/D9</f>
        <v/>
      </c>
      <c r="E155" s="57">
        <f>(E18+E19+E20+E21+E22+E24+E27+E29)/((E15-E16-E23)/E13)/E9</f>
        <v/>
      </c>
      <c r="F155" s="57">
        <f>(F18+F19+F20+F21+F22+F24+F27+F29)/((F15-F16-F23)/F13)/F9</f>
        <v/>
      </c>
      <c r="G155" s="57">
        <f>(G18+G19+G20+G21+G22+G24+G27+G29)/((G15-G16-G23)/G13)/G9</f>
        <v/>
      </c>
      <c r="H155" s="57">
        <f>(H18+H19+H20+H21+H22+H24+H27+H29)/((H15-H16-H23)/H13)/H9</f>
        <v/>
      </c>
      <c r="I155" s="57">
        <f>(I18+I19+I20+I21+I22+I24+I27+I29)/((I15-I16-I23)/I13)/I9</f>
        <v/>
      </c>
      <c r="J155" s="57">
        <f>(J18+J19+J20+J21+J22+J24+J27+J29)/((J15-J16-J23)/J13)/J9</f>
        <v/>
      </c>
      <c r="K155" s="57">
        <f>(K18+K19+K20+K21+K22+K24+K27+K29)/((K15-K16-K23)/K13)/K9</f>
        <v/>
      </c>
      <c r="L155" s="57">
        <f>(L18+L19+L20+L21+L22+L24+L27+L29)/((L15-L16-L23)/L13)/L9</f>
        <v/>
      </c>
      <c r="M155" s="57">
        <f>(M18+M19+M20+M21+M22+M24+M27+M29)/((M15-M16-M23)/M13)/M9</f>
        <v/>
      </c>
      <c r="N155" s="57">
        <f>(N18+N19+N20+N21+N22+N24+N27+N29)/((N15-N16-N23)/N13)/N9</f>
        <v/>
      </c>
      <c r="O155" s="57">
        <f>(O18+O19+O20+O21+O22+O24+O27+O29)/((O15-O16-O23)/O13)/O9</f>
        <v/>
      </c>
      <c r="P155" s="57">
        <f>(P18+P19+P20+P21+P22+P24+P27+P29)/((P15-P16-P23)/P13)/P9</f>
        <v/>
      </c>
      <c r="Q155" s="57">
        <f>(Q18+Q19+Q20+Q21+Q22+Q24+Q27+Q29)/((Q15-Q16-Q23)/Q13)/Q9</f>
        <v/>
      </c>
      <c r="R155" s="57">
        <f>(R18+R19+R20+R21+R22+R24+R27+R29)/((R15-R16-R23)/R13)/R9</f>
        <v/>
      </c>
      <c r="S155" s="57">
        <f>(S18+S19+S20+S21+S22+S24+S27+S29)/((S15-S16-S23)/S13)/S9</f>
        <v/>
      </c>
      <c r="T155" s="57">
        <f>(T18+T19+T20+T21+T22+T24+T27+T29)/((T15-T16-T23)/T13)/T9</f>
        <v/>
      </c>
      <c r="U155" s="57">
        <f>(U18+U19+U20+U21+U22+U24+U27+U29)/((U15-U16-U23)/U13)/U9</f>
        <v/>
      </c>
      <c r="V155" s="57">
        <f>(V18+V19+V20+V21+V22+V24+V27+V29)/((V15-V16-V23)/V13)/V9</f>
        <v/>
      </c>
      <c r="W155" s="57">
        <f>(W18+W19+W20+W21+W22+W24+W27+W29)/((W15-W16-W23)/W13)/W9</f>
        <v/>
      </c>
      <c r="X155" s="57">
        <f>(X18+X19+X20+X21+X22+X24+X27+X29)/((X15-X16-X23)/X13)/X9</f>
        <v/>
      </c>
      <c r="Y155" s="57">
        <f>(Y18+Y19+Y20+Y21+Y22+Y24+Y27+Y29)/((Y15-Y16-Y23)/Y13)/Y9</f>
        <v/>
      </c>
      <c r="Z155" s="57">
        <f>(Z18+Z19+Z20+Z21+Z22+Z24+Z27+Z29)/((Z15-Z16-Z23)/Z13)/Z9</f>
        <v/>
      </c>
      <c r="AA155" s="57">
        <f>(AA18+AA19+AA20+AA21+AA22+AA24+AA27+AA29)/((AA15-AA16-AA23)/AA13)/AA9</f>
        <v/>
      </c>
      <c r="AB155" s="57">
        <f>(AB18+AB19+AB20+AB21+AB22+AB24+AB27+AB29)/((AB15-AB16-AB23)/AB13)/AB9</f>
        <v/>
      </c>
      <c r="AC155" s="57">
        <f>(AC18+AC19+AC20+AC21+AC22+AC24+AC27+AC29)/((AC15-AC16-AC23)/AC13)/AC9</f>
        <v/>
      </c>
      <c r="AD155" s="57">
        <f>(AD18+AD19+AD20+AD21+AD22+AD24+AD27+AD29)/((AD15-AD16-AD23)/AD13)/AD9</f>
        <v/>
      </c>
      <c r="AE155" s="57">
        <f>(AE18+AE19+AE20+AE21+AE22+AE24+AE27+AE29)/((AE15-AE16-AE23)/AE13)/AE9</f>
        <v/>
      </c>
      <c r="AF155" s="57">
        <f>(AF18+AF19+AF20+AF21+AF22+AF24+AF27+AF29)/((AF15-AF16-AF23)/AF13)/AF9</f>
        <v/>
      </c>
      <c r="AG155" s="57">
        <f>(AG18+AG19+AG20+AG21+AG22+AG24+AG27+AG29)/((AG15-AG16-AG23)/AG13)/AG9</f>
        <v/>
      </c>
      <c r="AH155" s="57">
        <f>(AH18+AH19+AH20+AH21+AH22+AH24+AH27+AH29)/((AH15-AH16-AH23)/AH13)/AH9</f>
        <v/>
      </c>
      <c r="AI155" s="57">
        <f>(AI18+AI19+AI20+AI21+AI22+AI24+AI27+AI29)/((AI15-AI16-AI23)/AI13)/AI9</f>
        <v/>
      </c>
      <c r="AJ155" s="57">
        <f>(AJ18+AJ19+AJ20+AJ21+AJ22+AJ24+AJ27+AJ29)/((AJ15-AJ16-AJ23)/AJ13)/AJ9</f>
        <v/>
      </c>
      <c r="AK155" s="57">
        <f>(AK18+AK19+AK20+AK21+AK22+AK24+AK27+AK29)/((AK15-AK16-AK23)/AK13)/AK9</f>
        <v/>
      </c>
      <c r="AL155" s="57">
        <f>(AL18+AL19+AL20+AL21+AL22+AL24+AL27+AL29)/((AL15-AL16-AL23)/AL13)/AL9</f>
        <v/>
      </c>
    </row>
    <row r="156">
      <c r="A156" s="6" t="inlineStr">
        <is>
          <t>Margen de seguridad mensual</t>
        </is>
      </c>
      <c r="B156" s="24" t="inlineStr">
        <is>
          <t>%</t>
        </is>
      </c>
      <c r="C156" s="67">
        <f>IFERROR((C12-C155)/C12,0)</f>
        <v/>
      </c>
      <c r="D156" s="67">
        <f>IFERROR((D12-D155)/D12,0)</f>
        <v/>
      </c>
      <c r="E156" s="67">
        <f>IFERROR((E12-E155)/E12,0)</f>
        <v/>
      </c>
      <c r="F156" s="67">
        <f>IFERROR((F12-F155)/F12,0)</f>
        <v/>
      </c>
      <c r="G156" s="67">
        <f>IFERROR((G12-G155)/G12,0)</f>
        <v/>
      </c>
      <c r="H156" s="67">
        <f>IFERROR((H12-H155)/H12,0)</f>
        <v/>
      </c>
      <c r="I156" s="67">
        <f>IFERROR((I12-I155)/I12,0)</f>
        <v/>
      </c>
      <c r="J156" s="67">
        <f>IFERROR((J12-J155)/J12,0)</f>
        <v/>
      </c>
      <c r="K156" s="67">
        <f>IFERROR((K12-K155)/K12,0)</f>
        <v/>
      </c>
      <c r="L156" s="67">
        <f>IFERROR((L12-L155)/L12,0)</f>
        <v/>
      </c>
      <c r="M156" s="67">
        <f>IFERROR((M12-M155)/M12,0)</f>
        <v/>
      </c>
      <c r="N156" s="67">
        <f>IFERROR((N12-N155)/N12,0)</f>
        <v/>
      </c>
      <c r="O156" s="67">
        <f>IFERROR((O12-O155)/O12,0)</f>
        <v/>
      </c>
      <c r="P156" s="67">
        <f>IFERROR((P12-P155)/P12,0)</f>
        <v/>
      </c>
      <c r="Q156" s="67">
        <f>IFERROR((Q12-Q155)/Q12,0)</f>
        <v/>
      </c>
      <c r="R156" s="67">
        <f>IFERROR((R12-R155)/R12,0)</f>
        <v/>
      </c>
      <c r="S156" s="67">
        <f>IFERROR((S12-S155)/S12,0)</f>
        <v/>
      </c>
      <c r="T156" s="67">
        <f>IFERROR((T12-T155)/T12,0)</f>
        <v/>
      </c>
      <c r="U156" s="67">
        <f>IFERROR((U12-U155)/U12,0)</f>
        <v/>
      </c>
      <c r="V156" s="67">
        <f>IFERROR((V12-V155)/V12,0)</f>
        <v/>
      </c>
      <c r="W156" s="67">
        <f>IFERROR((W12-W155)/W12,0)</f>
        <v/>
      </c>
      <c r="X156" s="67">
        <f>IFERROR((X12-X155)/X12,0)</f>
        <v/>
      </c>
      <c r="Y156" s="67">
        <f>IFERROR((Y12-Y155)/Y12,0)</f>
        <v/>
      </c>
      <c r="Z156" s="67">
        <f>IFERROR((Z12-Z155)/Z12,0)</f>
        <v/>
      </c>
      <c r="AA156" s="67">
        <f>IFERROR((AA12-AA155)/AA12,0)</f>
        <v/>
      </c>
      <c r="AB156" s="67">
        <f>IFERROR((AB12-AB155)/AB12,0)</f>
        <v/>
      </c>
      <c r="AC156" s="67">
        <f>IFERROR((AC12-AC155)/AC12,0)</f>
        <v/>
      </c>
      <c r="AD156" s="67">
        <f>IFERROR((AD12-AD155)/AD12,0)</f>
        <v/>
      </c>
      <c r="AE156" s="67">
        <f>IFERROR((AE12-AE155)/AE12,0)</f>
        <v/>
      </c>
      <c r="AF156" s="67">
        <f>IFERROR((AF12-AF155)/AF12,0)</f>
        <v/>
      </c>
      <c r="AG156" s="67">
        <f>IFERROR((AG12-AG155)/AG12,0)</f>
        <v/>
      </c>
      <c r="AH156" s="67">
        <f>IFERROR((AH12-AH155)/AH12,0)</f>
        <v/>
      </c>
      <c r="AI156" s="67">
        <f>IFERROR((AI12-AI155)/AI12,0)</f>
        <v/>
      </c>
      <c r="AJ156" s="67">
        <f>IFERROR((AJ12-AJ155)/AJ12,0)</f>
        <v/>
      </c>
      <c r="AK156" s="67">
        <f>IFERROR((AK12-AK155)/AK12,0)</f>
        <v/>
      </c>
      <c r="AL156" s="67">
        <f>IFERROR((AL12-AL155)/AL12,0)</f>
        <v/>
      </c>
    </row>
  </sheetData>
  <mergeCells count="8">
    <mergeCell ref="A108:AP108"/>
    <mergeCell ref="A116:AP116"/>
    <mergeCell ref="A58:D58"/>
    <mergeCell ref="A37:AP37"/>
    <mergeCell ref="A11:AP11"/>
    <mergeCell ref="A74:AP74"/>
    <mergeCell ref="A153:AP153"/>
    <mergeCell ref="A51:AP51"/>
  </mergeCells>
  <conditionalFormatting sqref="C49:AL49">
    <cfRule type="cellIs" priority="1" operator="equal" dxfId="0">
      <formula>"Alerta"</formula>
    </cfRule>
  </conditionalFormatting>
  <conditionalFormatting sqref="C26:AL26">
    <cfRule type="cellIs" priority="2" operator="lessThan" dxfId="1">
      <formula>0</formula>
    </cfRule>
  </conditionalFormatting>
  <conditionalFormatting sqref="C32:AL32">
    <cfRule type="cellIs" priority="3" operator="lessThan" dxfId="2">
      <formula>0</formula>
    </cfRule>
  </conditionalFormatting>
  <conditionalFormatting sqref="C33:AL33">
    <cfRule type="cellIs" priority="4" operator="lessThan" dxfId="1">
      <formula>0.6</formula>
    </cfRule>
  </conditionalFormatting>
  <conditionalFormatting sqref="C34:AL34">
    <cfRule type="cellIs" priority="5" operator="lessThan" dxfId="1">
      <formula>0.1</formula>
    </cfRule>
  </conditionalFormatting>
  <dataValidations count="1">
    <dataValidation sqref="B3" showDropDown="0" showInputMessage="0" showErrorMessage="0" allowBlank="0" errorTitle="Selector no válido" error="Selecciona un escenario entre 1 y 3." promptTitle="Escenario" prompt="1 = Pesimista, 2 = Base, 3 = Optimista" type="whole" operator="between">
      <formula1>1</formula1>
      <formula2>3</formula2>
    </dataValidation>
  </dataValidations>
  <printOptions gridLines="0"/>
  <pageMargins left="0.75" right="0.75" top="1" bottom="1" header="0.5" footer="0.5"/>
  <pageSetup orientation="landscape" paperSize="9" fitToHeight="0" fitToWidth="1"/>
  <headerFooter>
    <oddHeader>&amp;CCafetería Aurora — Modelo 2026–2028</oddHeader>
    <oddFooter>&amp;CPágina &amp;P de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5E6B52"/>
    <outlinePr summaryBelow="1" summaryRight="1"/>
    <pageSetUpPr fitToPage="1"/>
  </sheetPr>
  <dimension ref="A1:AP156"/>
  <sheetViews>
    <sheetView showGridLines="1" zoomScale="85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3" customWidth="1" min="39" max="39"/>
    <col width="13" customWidth="1" min="40" max="40"/>
    <col width="13" customWidth="1" min="41" max="41"/>
    <col width="13" customWidth="1" min="42" max="42"/>
  </cols>
  <sheetData>
    <row r="1">
      <c r="A1" s="53" t="inlineStr">
        <is>
          <t>Cafetería Aurora — Escenario Optimista</t>
        </is>
      </c>
    </row>
    <row r="2">
      <c r="A2" s="8" t="inlineStr">
        <is>
          <t>EUR, sin IVA. Solo se editan las hojas de entrada.</t>
        </is>
      </c>
    </row>
    <row r="3">
      <c r="A3" t="inlineStr">
        <is>
          <t>Selector (1/2/3):</t>
        </is>
      </c>
      <c r="B3" s="7" t="n">
        <v>3</v>
      </c>
      <c r="C3" s="50" t="inlineStr">
        <is>
          <t>1 = Pesimista · 2 = Base · 3 = Optimista</t>
        </is>
      </c>
    </row>
    <row r="4">
      <c r="A4" t="inlineStr">
        <is>
          <t>Escenario:</t>
        </is>
      </c>
      <c r="B4" s="54">
        <f>CHOOSE(B3,"Pesimista","Base","Optimista")</f>
        <v/>
      </c>
      <c r="C4" s="50" t="inlineStr">
        <is>
          <t>Cambia el selector para ver el mismo modelo con los supuestos de otro escenario.</t>
        </is>
      </c>
    </row>
    <row r="5">
      <c r="A5" s="12" t="inlineStr">
        <is>
          <t>Índice de mes</t>
        </is>
      </c>
      <c r="B5" s="28" t="inlineStr">
        <is>
          <t>mes</t>
        </is>
      </c>
      <c r="C5" s="7" t="n">
        <v>1</v>
      </c>
      <c r="D5" s="37">
        <f>C5+1</f>
        <v/>
      </c>
      <c r="E5" s="37">
        <f>D5+1</f>
        <v/>
      </c>
      <c r="F5" s="37">
        <f>E5+1</f>
        <v/>
      </c>
      <c r="G5" s="37">
        <f>F5+1</f>
        <v/>
      </c>
      <c r="H5" s="37">
        <f>G5+1</f>
        <v/>
      </c>
      <c r="I5" s="37">
        <f>H5+1</f>
        <v/>
      </c>
      <c r="J5" s="37">
        <f>I5+1</f>
        <v/>
      </c>
      <c r="K5" s="37">
        <f>J5+1</f>
        <v/>
      </c>
      <c r="L5" s="37">
        <f>K5+1</f>
        <v/>
      </c>
      <c r="M5" s="37">
        <f>L5+1</f>
        <v/>
      </c>
      <c r="N5" s="37">
        <f>M5+1</f>
        <v/>
      </c>
      <c r="O5" s="37">
        <f>N5+1</f>
        <v/>
      </c>
      <c r="P5" s="37">
        <f>O5+1</f>
        <v/>
      </c>
      <c r="Q5" s="37">
        <f>P5+1</f>
        <v/>
      </c>
      <c r="R5" s="37">
        <f>Q5+1</f>
        <v/>
      </c>
      <c r="S5" s="37">
        <f>R5+1</f>
        <v/>
      </c>
      <c r="T5" s="37">
        <f>S5+1</f>
        <v/>
      </c>
      <c r="U5" s="37">
        <f>T5+1</f>
        <v/>
      </c>
      <c r="V5" s="37">
        <f>U5+1</f>
        <v/>
      </c>
      <c r="W5" s="37">
        <f>V5+1</f>
        <v/>
      </c>
      <c r="X5" s="37">
        <f>W5+1</f>
        <v/>
      </c>
      <c r="Y5" s="37">
        <f>X5+1</f>
        <v/>
      </c>
      <c r="Z5" s="37">
        <f>Y5+1</f>
        <v/>
      </c>
      <c r="AA5" s="37">
        <f>Z5+1</f>
        <v/>
      </c>
      <c r="AB5" s="37">
        <f>AA5+1</f>
        <v/>
      </c>
      <c r="AC5" s="37">
        <f>AB5+1</f>
        <v/>
      </c>
      <c r="AD5" s="37">
        <f>AC5+1</f>
        <v/>
      </c>
      <c r="AE5" s="37">
        <f>AD5+1</f>
        <v/>
      </c>
      <c r="AF5" s="37">
        <f>AE5+1</f>
        <v/>
      </c>
      <c r="AG5" s="37">
        <f>AF5+1</f>
        <v/>
      </c>
      <c r="AH5" s="37">
        <f>AG5+1</f>
        <v/>
      </c>
      <c r="AI5" s="37">
        <f>AH5+1</f>
        <v/>
      </c>
      <c r="AJ5" s="37">
        <f>AI5+1</f>
        <v/>
      </c>
      <c r="AK5" s="37">
        <f>AJ5+1</f>
        <v/>
      </c>
      <c r="AL5" s="37">
        <f>AK5+1</f>
        <v/>
      </c>
    </row>
    <row r="6">
      <c r="A6" s="12" t="inlineStr">
        <is>
          <t>Fecha</t>
        </is>
      </c>
      <c r="B6" s="28" t="inlineStr">
        <is>
          <t>fecha</t>
        </is>
      </c>
      <c r="C6" s="55">
        <f>DATE(2026,1,1)</f>
        <v/>
      </c>
      <c r="D6" s="56">
        <f>EDATE(C6,1)</f>
        <v/>
      </c>
      <c r="E6" s="56">
        <f>EDATE(D6,1)</f>
        <v/>
      </c>
      <c r="F6" s="56">
        <f>EDATE(E6,1)</f>
        <v/>
      </c>
      <c r="G6" s="56">
        <f>EDATE(F6,1)</f>
        <v/>
      </c>
      <c r="H6" s="56">
        <f>EDATE(G6,1)</f>
        <v/>
      </c>
      <c r="I6" s="56">
        <f>EDATE(H6,1)</f>
        <v/>
      </c>
      <c r="J6" s="56">
        <f>EDATE(I6,1)</f>
        <v/>
      </c>
      <c r="K6" s="56">
        <f>EDATE(J6,1)</f>
        <v/>
      </c>
      <c r="L6" s="56">
        <f>EDATE(K6,1)</f>
        <v/>
      </c>
      <c r="M6" s="56">
        <f>EDATE(L6,1)</f>
        <v/>
      </c>
      <c r="N6" s="56">
        <f>EDATE(M6,1)</f>
        <v/>
      </c>
      <c r="O6" s="56">
        <f>EDATE(N6,1)</f>
        <v/>
      </c>
      <c r="P6" s="56">
        <f>EDATE(O6,1)</f>
        <v/>
      </c>
      <c r="Q6" s="56">
        <f>EDATE(P6,1)</f>
        <v/>
      </c>
      <c r="R6" s="56">
        <f>EDATE(Q6,1)</f>
        <v/>
      </c>
      <c r="S6" s="56">
        <f>EDATE(R6,1)</f>
        <v/>
      </c>
      <c r="T6" s="56">
        <f>EDATE(S6,1)</f>
        <v/>
      </c>
      <c r="U6" s="56">
        <f>EDATE(T6,1)</f>
        <v/>
      </c>
      <c r="V6" s="56">
        <f>EDATE(U6,1)</f>
        <v/>
      </c>
      <c r="W6" s="56">
        <f>EDATE(V6,1)</f>
        <v/>
      </c>
      <c r="X6" s="56">
        <f>EDATE(W6,1)</f>
        <v/>
      </c>
      <c r="Y6" s="56">
        <f>EDATE(X6,1)</f>
        <v/>
      </c>
      <c r="Z6" s="56">
        <f>EDATE(Y6,1)</f>
        <v/>
      </c>
      <c r="AA6" s="56">
        <f>EDATE(Z6,1)</f>
        <v/>
      </c>
      <c r="AB6" s="56">
        <f>EDATE(AA6,1)</f>
        <v/>
      </c>
      <c r="AC6" s="56">
        <f>EDATE(AB6,1)</f>
        <v/>
      </c>
      <c r="AD6" s="56">
        <f>EDATE(AC6,1)</f>
        <v/>
      </c>
      <c r="AE6" s="56">
        <f>EDATE(AD6,1)</f>
        <v/>
      </c>
      <c r="AF6" s="56">
        <f>EDATE(AE6,1)</f>
        <v/>
      </c>
      <c r="AG6" s="56">
        <f>EDATE(AF6,1)</f>
        <v/>
      </c>
      <c r="AH6" s="56">
        <f>EDATE(AG6,1)</f>
        <v/>
      </c>
      <c r="AI6" s="56">
        <f>EDATE(AH6,1)</f>
        <v/>
      </c>
      <c r="AJ6" s="56">
        <f>EDATE(AI6,1)</f>
        <v/>
      </c>
      <c r="AK6" s="56">
        <f>EDATE(AJ6,1)</f>
        <v/>
      </c>
      <c r="AL6" s="56">
        <f>EDATE(AK6,1)</f>
        <v/>
      </c>
    </row>
    <row r="7">
      <c r="A7" s="12" t="inlineStr">
        <is>
          <t>Año</t>
        </is>
      </c>
      <c r="B7" s="28" t="inlineStr">
        <is>
          <t>1–3</t>
        </is>
      </c>
      <c r="C7" s="37">
        <f>ROUNDUP(C5/12,0)</f>
        <v/>
      </c>
      <c r="D7" s="37">
        <f>ROUNDUP(D5/12,0)</f>
        <v/>
      </c>
      <c r="E7" s="37">
        <f>ROUNDUP(E5/12,0)</f>
        <v/>
      </c>
      <c r="F7" s="37">
        <f>ROUNDUP(F5/12,0)</f>
        <v/>
      </c>
      <c r="G7" s="37">
        <f>ROUNDUP(G5/12,0)</f>
        <v/>
      </c>
      <c r="H7" s="37">
        <f>ROUNDUP(H5/12,0)</f>
        <v/>
      </c>
      <c r="I7" s="37">
        <f>ROUNDUP(I5/12,0)</f>
        <v/>
      </c>
      <c r="J7" s="37">
        <f>ROUNDUP(J5/12,0)</f>
        <v/>
      </c>
      <c r="K7" s="37">
        <f>ROUNDUP(K5/12,0)</f>
        <v/>
      </c>
      <c r="L7" s="37">
        <f>ROUNDUP(L5/12,0)</f>
        <v/>
      </c>
      <c r="M7" s="37">
        <f>ROUNDUP(M5/12,0)</f>
        <v/>
      </c>
      <c r="N7" s="37">
        <f>ROUNDUP(N5/12,0)</f>
        <v/>
      </c>
      <c r="O7" s="37">
        <f>ROUNDUP(O5/12,0)</f>
        <v/>
      </c>
      <c r="P7" s="37">
        <f>ROUNDUP(P5/12,0)</f>
        <v/>
      </c>
      <c r="Q7" s="37">
        <f>ROUNDUP(Q5/12,0)</f>
        <v/>
      </c>
      <c r="R7" s="37">
        <f>ROUNDUP(R5/12,0)</f>
        <v/>
      </c>
      <c r="S7" s="37">
        <f>ROUNDUP(S5/12,0)</f>
        <v/>
      </c>
      <c r="T7" s="37">
        <f>ROUNDUP(T5/12,0)</f>
        <v/>
      </c>
      <c r="U7" s="37">
        <f>ROUNDUP(U5/12,0)</f>
        <v/>
      </c>
      <c r="V7" s="37">
        <f>ROUNDUP(V5/12,0)</f>
        <v/>
      </c>
      <c r="W7" s="37">
        <f>ROUNDUP(W5/12,0)</f>
        <v/>
      </c>
      <c r="X7" s="37">
        <f>ROUNDUP(X5/12,0)</f>
        <v/>
      </c>
      <c r="Y7" s="37">
        <f>ROUNDUP(Y5/12,0)</f>
        <v/>
      </c>
      <c r="Z7" s="37">
        <f>ROUNDUP(Z5/12,0)</f>
        <v/>
      </c>
      <c r="AA7" s="37">
        <f>ROUNDUP(AA5/12,0)</f>
        <v/>
      </c>
      <c r="AB7" s="37">
        <f>ROUNDUP(AB5/12,0)</f>
        <v/>
      </c>
      <c r="AC7" s="37">
        <f>ROUNDUP(AC5/12,0)</f>
        <v/>
      </c>
      <c r="AD7" s="37">
        <f>ROUNDUP(AD5/12,0)</f>
        <v/>
      </c>
      <c r="AE7" s="37">
        <f>ROUNDUP(AE5/12,0)</f>
        <v/>
      </c>
      <c r="AF7" s="37">
        <f>ROUNDUP(AF5/12,0)</f>
        <v/>
      </c>
      <c r="AG7" s="37">
        <f>ROUNDUP(AG5/12,0)</f>
        <v/>
      </c>
      <c r="AH7" s="37">
        <f>ROUNDUP(AH5/12,0)</f>
        <v/>
      </c>
      <c r="AI7" s="37">
        <f>ROUNDUP(AI5/12,0)</f>
        <v/>
      </c>
      <c r="AJ7" s="37">
        <f>ROUNDUP(AJ5/12,0)</f>
        <v/>
      </c>
      <c r="AK7" s="37">
        <f>ROUNDUP(AK5/12,0)</f>
        <v/>
      </c>
      <c r="AL7" s="37">
        <f>ROUNDUP(AL5/12,0)</f>
        <v/>
      </c>
    </row>
    <row r="8">
      <c r="A8" s="12" t="inlineStr">
        <is>
          <t>Mes</t>
        </is>
      </c>
      <c r="B8" s="28" t="inlineStr">
        <is>
          <t>1–12</t>
        </is>
      </c>
      <c r="C8" s="37">
        <f>MOD(C5-1,12)+1</f>
        <v/>
      </c>
      <c r="D8" s="37">
        <f>MOD(D5-1,12)+1</f>
        <v/>
      </c>
      <c r="E8" s="37">
        <f>MOD(E5-1,12)+1</f>
        <v/>
      </c>
      <c r="F8" s="37">
        <f>MOD(F5-1,12)+1</f>
        <v/>
      </c>
      <c r="G8" s="37">
        <f>MOD(G5-1,12)+1</f>
        <v/>
      </c>
      <c r="H8" s="37">
        <f>MOD(H5-1,12)+1</f>
        <v/>
      </c>
      <c r="I8" s="37">
        <f>MOD(I5-1,12)+1</f>
        <v/>
      </c>
      <c r="J8" s="37">
        <f>MOD(J5-1,12)+1</f>
        <v/>
      </c>
      <c r="K8" s="37">
        <f>MOD(K5-1,12)+1</f>
        <v/>
      </c>
      <c r="L8" s="37">
        <f>MOD(L5-1,12)+1</f>
        <v/>
      </c>
      <c r="M8" s="37">
        <f>MOD(M5-1,12)+1</f>
        <v/>
      </c>
      <c r="N8" s="37">
        <f>MOD(N5-1,12)+1</f>
        <v/>
      </c>
      <c r="O8" s="37">
        <f>MOD(O5-1,12)+1</f>
        <v/>
      </c>
      <c r="P8" s="37">
        <f>MOD(P5-1,12)+1</f>
        <v/>
      </c>
      <c r="Q8" s="37">
        <f>MOD(Q5-1,12)+1</f>
        <v/>
      </c>
      <c r="R8" s="37">
        <f>MOD(R5-1,12)+1</f>
        <v/>
      </c>
      <c r="S8" s="37">
        <f>MOD(S5-1,12)+1</f>
        <v/>
      </c>
      <c r="T8" s="37">
        <f>MOD(T5-1,12)+1</f>
        <v/>
      </c>
      <c r="U8" s="37">
        <f>MOD(U5-1,12)+1</f>
        <v/>
      </c>
      <c r="V8" s="37">
        <f>MOD(V5-1,12)+1</f>
        <v/>
      </c>
      <c r="W8" s="37">
        <f>MOD(W5-1,12)+1</f>
        <v/>
      </c>
      <c r="X8" s="37">
        <f>MOD(X5-1,12)+1</f>
        <v/>
      </c>
      <c r="Y8" s="37">
        <f>MOD(Y5-1,12)+1</f>
        <v/>
      </c>
      <c r="Z8" s="37">
        <f>MOD(Z5-1,12)+1</f>
        <v/>
      </c>
      <c r="AA8" s="37">
        <f>MOD(AA5-1,12)+1</f>
        <v/>
      </c>
      <c r="AB8" s="37">
        <f>MOD(AB5-1,12)+1</f>
        <v/>
      </c>
      <c r="AC8" s="37">
        <f>MOD(AC5-1,12)+1</f>
        <v/>
      </c>
      <c r="AD8" s="37">
        <f>MOD(AD5-1,12)+1</f>
        <v/>
      </c>
      <c r="AE8" s="37">
        <f>MOD(AE5-1,12)+1</f>
        <v/>
      </c>
      <c r="AF8" s="37">
        <f>MOD(AF5-1,12)+1</f>
        <v/>
      </c>
      <c r="AG8" s="37">
        <f>MOD(AG5-1,12)+1</f>
        <v/>
      </c>
      <c r="AH8" s="37">
        <f>MOD(AH5-1,12)+1</f>
        <v/>
      </c>
      <c r="AI8" s="37">
        <f>MOD(AI5-1,12)+1</f>
        <v/>
      </c>
      <c r="AJ8" s="37">
        <f>MOD(AJ5-1,12)+1</f>
        <v/>
      </c>
      <c r="AK8" s="37">
        <f>MOD(AK5-1,12)+1</f>
        <v/>
      </c>
      <c r="AL8" s="37">
        <f>MOD(AL5-1,12)+1</f>
        <v/>
      </c>
    </row>
    <row r="9">
      <c r="A9" s="12" t="inlineStr">
        <is>
          <t>Días operativos</t>
        </is>
      </c>
      <c r="B9" s="28" t="inlineStr">
        <is>
          <t>días</t>
        </is>
      </c>
      <c r="C9" s="27">
        <f>INDEX(OpeningDays,1,C8)</f>
        <v/>
      </c>
      <c r="D9" s="27">
        <f>INDEX(OpeningDays,1,D8)</f>
        <v/>
      </c>
      <c r="E9" s="27">
        <f>INDEX(OpeningDays,1,E8)</f>
        <v/>
      </c>
      <c r="F9" s="27">
        <f>INDEX(OpeningDays,1,F8)</f>
        <v/>
      </c>
      <c r="G9" s="27">
        <f>INDEX(OpeningDays,1,G8)</f>
        <v/>
      </c>
      <c r="H9" s="27">
        <f>INDEX(OpeningDays,1,H8)</f>
        <v/>
      </c>
      <c r="I9" s="27">
        <f>INDEX(OpeningDays,1,I8)</f>
        <v/>
      </c>
      <c r="J9" s="27">
        <f>INDEX(OpeningDays,1,J8)</f>
        <v/>
      </c>
      <c r="K9" s="27">
        <f>INDEX(OpeningDays,1,K8)</f>
        <v/>
      </c>
      <c r="L9" s="27">
        <f>INDEX(OpeningDays,1,L8)</f>
        <v/>
      </c>
      <c r="M9" s="27">
        <f>INDEX(OpeningDays,1,M8)</f>
        <v/>
      </c>
      <c r="N9" s="27">
        <f>INDEX(OpeningDays,1,N8)</f>
        <v/>
      </c>
      <c r="O9" s="27">
        <f>INDEX(OpeningDays,1,O8)</f>
        <v/>
      </c>
      <c r="P9" s="27">
        <f>INDEX(OpeningDays,1,P8)</f>
        <v/>
      </c>
      <c r="Q9" s="27">
        <f>INDEX(OpeningDays,1,Q8)</f>
        <v/>
      </c>
      <c r="R9" s="27">
        <f>INDEX(OpeningDays,1,R8)</f>
        <v/>
      </c>
      <c r="S9" s="27">
        <f>INDEX(OpeningDays,1,S8)</f>
        <v/>
      </c>
      <c r="T9" s="27">
        <f>INDEX(OpeningDays,1,T8)</f>
        <v/>
      </c>
      <c r="U9" s="27">
        <f>INDEX(OpeningDays,1,U8)</f>
        <v/>
      </c>
      <c r="V9" s="27">
        <f>INDEX(OpeningDays,1,V8)</f>
        <v/>
      </c>
      <c r="W9" s="27">
        <f>INDEX(OpeningDays,1,W8)</f>
        <v/>
      </c>
      <c r="X9" s="27">
        <f>INDEX(OpeningDays,1,X8)</f>
        <v/>
      </c>
      <c r="Y9" s="27">
        <f>INDEX(OpeningDays,1,Y8)</f>
        <v/>
      </c>
      <c r="Z9" s="27">
        <f>INDEX(OpeningDays,1,Z8)</f>
        <v/>
      </c>
      <c r="AA9" s="27">
        <f>INDEX(OpeningDays,1,AA8)</f>
        <v/>
      </c>
      <c r="AB9" s="27">
        <f>INDEX(OpeningDays,1,AB8)</f>
        <v/>
      </c>
      <c r="AC9" s="27">
        <f>INDEX(OpeningDays,1,AC8)</f>
        <v/>
      </c>
      <c r="AD9" s="27">
        <f>INDEX(OpeningDays,1,AD8)</f>
        <v/>
      </c>
      <c r="AE9" s="27">
        <f>INDEX(OpeningDays,1,AE8)</f>
        <v/>
      </c>
      <c r="AF9" s="27">
        <f>INDEX(OpeningDays,1,AF8)</f>
        <v/>
      </c>
      <c r="AG9" s="27">
        <f>INDEX(OpeningDays,1,AG8)</f>
        <v/>
      </c>
      <c r="AH9" s="27">
        <f>INDEX(OpeningDays,1,AH8)</f>
        <v/>
      </c>
      <c r="AI9" s="27">
        <f>INDEX(OpeningDays,1,AI8)</f>
        <v/>
      </c>
      <c r="AJ9" s="27">
        <f>INDEX(OpeningDays,1,AJ8)</f>
        <v/>
      </c>
      <c r="AK9" s="27">
        <f>INDEX(OpeningDays,1,AK8)</f>
        <v/>
      </c>
      <c r="AL9" s="27">
        <f>INDEX(OpeningDays,1,AL8)</f>
        <v/>
      </c>
      <c r="AM9" s="27">
        <f>SUM(C9:N9)</f>
        <v/>
      </c>
      <c r="AN9" s="27">
        <f>SUM(O9:Z9)</f>
        <v/>
      </c>
      <c r="AO9" s="27">
        <f>SUM(AA9:AL9)</f>
        <v/>
      </c>
      <c r="AP9" s="27">
        <f>SUM(AM9:AO9)</f>
        <v/>
      </c>
    </row>
    <row r="11" ht="20" customHeight="1">
      <c r="A11" s="16" t="inlineStr">
        <is>
          <t>CUENTA DE RESULTADOS</t>
        </is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</row>
    <row r="12">
      <c r="A12" s="6" t="inlineStr">
        <is>
          <t>Tickets/día</t>
        </is>
      </c>
      <c r="B12" s="24" t="inlineStr">
        <is>
          <t>tickets/día</t>
        </is>
      </c>
      <c r="C12" s="57">
        <f>BaseTicketsDay*INDEX(ScenarioMatrix,1,$B$3)*(1+INDEX(ScenarioMatrix,2,$B$3))^(1-1)*INDEX(Seasonality,1,C8)*IF(1=1,INDEX(Ramp,1,C8),1)</f>
        <v/>
      </c>
      <c r="D12" s="57">
        <f>BaseTicketsDay*INDEX(ScenarioMatrix,1,$B$3)*(1+INDEX(ScenarioMatrix,2,$B$3))^(1-1)*INDEX(Seasonality,1,D8)*IF(1=1,INDEX(Ramp,1,D8),1)</f>
        <v/>
      </c>
      <c r="E12" s="57">
        <f>BaseTicketsDay*INDEX(ScenarioMatrix,1,$B$3)*(1+INDEX(ScenarioMatrix,2,$B$3))^(1-1)*INDEX(Seasonality,1,E8)*IF(1=1,INDEX(Ramp,1,E8),1)</f>
        <v/>
      </c>
      <c r="F12" s="57">
        <f>BaseTicketsDay*INDEX(ScenarioMatrix,1,$B$3)*(1+INDEX(ScenarioMatrix,2,$B$3))^(1-1)*INDEX(Seasonality,1,F8)*IF(1=1,INDEX(Ramp,1,F8),1)</f>
        <v/>
      </c>
      <c r="G12" s="57">
        <f>BaseTicketsDay*INDEX(ScenarioMatrix,1,$B$3)*(1+INDEX(ScenarioMatrix,2,$B$3))^(1-1)*INDEX(Seasonality,1,G8)*IF(1=1,INDEX(Ramp,1,G8),1)</f>
        <v/>
      </c>
      <c r="H12" s="57">
        <f>BaseTicketsDay*INDEX(ScenarioMatrix,1,$B$3)*(1+INDEX(ScenarioMatrix,2,$B$3))^(1-1)*INDEX(Seasonality,1,H8)*IF(1=1,INDEX(Ramp,1,H8),1)</f>
        <v/>
      </c>
      <c r="I12" s="57">
        <f>BaseTicketsDay*INDEX(ScenarioMatrix,1,$B$3)*(1+INDEX(ScenarioMatrix,2,$B$3))^(1-1)*INDEX(Seasonality,1,I8)*IF(1=1,INDEX(Ramp,1,I8),1)</f>
        <v/>
      </c>
      <c r="J12" s="57">
        <f>BaseTicketsDay*INDEX(ScenarioMatrix,1,$B$3)*(1+INDEX(ScenarioMatrix,2,$B$3))^(1-1)*INDEX(Seasonality,1,J8)*IF(1=1,INDEX(Ramp,1,J8),1)</f>
        <v/>
      </c>
      <c r="K12" s="57">
        <f>BaseTicketsDay*INDEX(ScenarioMatrix,1,$B$3)*(1+INDEX(ScenarioMatrix,2,$B$3))^(1-1)*INDEX(Seasonality,1,K8)*IF(1=1,INDEX(Ramp,1,K8),1)</f>
        <v/>
      </c>
      <c r="L12" s="57">
        <f>BaseTicketsDay*INDEX(ScenarioMatrix,1,$B$3)*(1+INDEX(ScenarioMatrix,2,$B$3))^(1-1)*INDEX(Seasonality,1,L8)*IF(1=1,INDEX(Ramp,1,L8),1)</f>
        <v/>
      </c>
      <c r="M12" s="57">
        <f>BaseTicketsDay*INDEX(ScenarioMatrix,1,$B$3)*(1+INDEX(ScenarioMatrix,2,$B$3))^(1-1)*INDEX(Seasonality,1,M8)*IF(1=1,INDEX(Ramp,1,M8),1)</f>
        <v/>
      </c>
      <c r="N12" s="57">
        <f>BaseTicketsDay*INDEX(ScenarioMatrix,1,$B$3)*(1+INDEX(ScenarioMatrix,2,$B$3))^(1-1)*INDEX(Seasonality,1,N8)*IF(1=1,INDEX(Ramp,1,N8),1)</f>
        <v/>
      </c>
      <c r="O12" s="57">
        <f>BaseTicketsDay*INDEX(ScenarioMatrix,1,$B$3)*(1+INDEX(ScenarioMatrix,2,$B$3))^(2-1)*INDEX(Seasonality,1,O8)*IF(2=1,INDEX(Ramp,1,O8),1)</f>
        <v/>
      </c>
      <c r="P12" s="57">
        <f>BaseTicketsDay*INDEX(ScenarioMatrix,1,$B$3)*(1+INDEX(ScenarioMatrix,2,$B$3))^(2-1)*INDEX(Seasonality,1,P8)*IF(2=1,INDEX(Ramp,1,P8),1)</f>
        <v/>
      </c>
      <c r="Q12" s="57">
        <f>BaseTicketsDay*INDEX(ScenarioMatrix,1,$B$3)*(1+INDEX(ScenarioMatrix,2,$B$3))^(2-1)*INDEX(Seasonality,1,Q8)*IF(2=1,INDEX(Ramp,1,Q8),1)</f>
        <v/>
      </c>
      <c r="R12" s="57">
        <f>BaseTicketsDay*INDEX(ScenarioMatrix,1,$B$3)*(1+INDEX(ScenarioMatrix,2,$B$3))^(2-1)*INDEX(Seasonality,1,R8)*IF(2=1,INDEX(Ramp,1,R8),1)</f>
        <v/>
      </c>
      <c r="S12" s="57">
        <f>BaseTicketsDay*INDEX(ScenarioMatrix,1,$B$3)*(1+INDEX(ScenarioMatrix,2,$B$3))^(2-1)*INDEX(Seasonality,1,S8)*IF(2=1,INDEX(Ramp,1,S8),1)</f>
        <v/>
      </c>
      <c r="T12" s="57">
        <f>BaseTicketsDay*INDEX(ScenarioMatrix,1,$B$3)*(1+INDEX(ScenarioMatrix,2,$B$3))^(2-1)*INDEX(Seasonality,1,T8)*IF(2=1,INDEX(Ramp,1,T8),1)</f>
        <v/>
      </c>
      <c r="U12" s="57">
        <f>BaseTicketsDay*INDEX(ScenarioMatrix,1,$B$3)*(1+INDEX(ScenarioMatrix,2,$B$3))^(2-1)*INDEX(Seasonality,1,U8)*IF(2=1,INDEX(Ramp,1,U8),1)</f>
        <v/>
      </c>
      <c r="V12" s="57">
        <f>BaseTicketsDay*INDEX(ScenarioMatrix,1,$B$3)*(1+INDEX(ScenarioMatrix,2,$B$3))^(2-1)*INDEX(Seasonality,1,V8)*IF(2=1,INDEX(Ramp,1,V8),1)</f>
        <v/>
      </c>
      <c r="W12" s="57">
        <f>BaseTicketsDay*INDEX(ScenarioMatrix,1,$B$3)*(1+INDEX(ScenarioMatrix,2,$B$3))^(2-1)*INDEX(Seasonality,1,W8)*IF(2=1,INDEX(Ramp,1,W8),1)</f>
        <v/>
      </c>
      <c r="X12" s="57">
        <f>BaseTicketsDay*INDEX(ScenarioMatrix,1,$B$3)*(1+INDEX(ScenarioMatrix,2,$B$3))^(2-1)*INDEX(Seasonality,1,X8)*IF(2=1,INDEX(Ramp,1,X8),1)</f>
        <v/>
      </c>
      <c r="Y12" s="57">
        <f>BaseTicketsDay*INDEX(ScenarioMatrix,1,$B$3)*(1+INDEX(ScenarioMatrix,2,$B$3))^(2-1)*INDEX(Seasonality,1,Y8)*IF(2=1,INDEX(Ramp,1,Y8),1)</f>
        <v/>
      </c>
      <c r="Z12" s="57">
        <f>BaseTicketsDay*INDEX(ScenarioMatrix,1,$B$3)*(1+INDEX(ScenarioMatrix,2,$B$3))^(2-1)*INDEX(Seasonality,1,Z8)*IF(2=1,INDEX(Ramp,1,Z8),1)</f>
        <v/>
      </c>
      <c r="AA12" s="57">
        <f>BaseTicketsDay*INDEX(ScenarioMatrix,1,$B$3)*(1+INDEX(ScenarioMatrix,2,$B$3))^(3-1)*INDEX(Seasonality,1,AA8)*IF(3=1,INDEX(Ramp,1,AA8),1)</f>
        <v/>
      </c>
      <c r="AB12" s="57">
        <f>BaseTicketsDay*INDEX(ScenarioMatrix,1,$B$3)*(1+INDEX(ScenarioMatrix,2,$B$3))^(3-1)*INDEX(Seasonality,1,AB8)*IF(3=1,INDEX(Ramp,1,AB8),1)</f>
        <v/>
      </c>
      <c r="AC12" s="57">
        <f>BaseTicketsDay*INDEX(ScenarioMatrix,1,$B$3)*(1+INDEX(ScenarioMatrix,2,$B$3))^(3-1)*INDEX(Seasonality,1,AC8)*IF(3=1,INDEX(Ramp,1,AC8),1)</f>
        <v/>
      </c>
      <c r="AD12" s="57">
        <f>BaseTicketsDay*INDEX(ScenarioMatrix,1,$B$3)*(1+INDEX(ScenarioMatrix,2,$B$3))^(3-1)*INDEX(Seasonality,1,AD8)*IF(3=1,INDEX(Ramp,1,AD8),1)</f>
        <v/>
      </c>
      <c r="AE12" s="57">
        <f>BaseTicketsDay*INDEX(ScenarioMatrix,1,$B$3)*(1+INDEX(ScenarioMatrix,2,$B$3))^(3-1)*INDEX(Seasonality,1,AE8)*IF(3=1,INDEX(Ramp,1,AE8),1)</f>
        <v/>
      </c>
      <c r="AF12" s="57">
        <f>BaseTicketsDay*INDEX(ScenarioMatrix,1,$B$3)*(1+INDEX(ScenarioMatrix,2,$B$3))^(3-1)*INDEX(Seasonality,1,AF8)*IF(3=1,INDEX(Ramp,1,AF8),1)</f>
        <v/>
      </c>
      <c r="AG12" s="57">
        <f>BaseTicketsDay*INDEX(ScenarioMatrix,1,$B$3)*(1+INDEX(ScenarioMatrix,2,$B$3))^(3-1)*INDEX(Seasonality,1,AG8)*IF(3=1,INDEX(Ramp,1,AG8),1)</f>
        <v/>
      </c>
      <c r="AH12" s="57">
        <f>BaseTicketsDay*INDEX(ScenarioMatrix,1,$B$3)*(1+INDEX(ScenarioMatrix,2,$B$3))^(3-1)*INDEX(Seasonality,1,AH8)*IF(3=1,INDEX(Ramp,1,AH8),1)</f>
        <v/>
      </c>
      <c r="AI12" s="57">
        <f>BaseTicketsDay*INDEX(ScenarioMatrix,1,$B$3)*(1+INDEX(ScenarioMatrix,2,$B$3))^(3-1)*INDEX(Seasonality,1,AI8)*IF(3=1,INDEX(Ramp,1,AI8),1)</f>
        <v/>
      </c>
      <c r="AJ12" s="57">
        <f>BaseTicketsDay*INDEX(ScenarioMatrix,1,$B$3)*(1+INDEX(ScenarioMatrix,2,$B$3))^(3-1)*INDEX(Seasonality,1,AJ8)*IF(3=1,INDEX(Ramp,1,AJ8),1)</f>
        <v/>
      </c>
      <c r="AK12" s="57">
        <f>BaseTicketsDay*INDEX(ScenarioMatrix,1,$B$3)*(1+INDEX(ScenarioMatrix,2,$B$3))^(3-1)*INDEX(Seasonality,1,AK8)*IF(3=1,INDEX(Ramp,1,AK8),1)</f>
        <v/>
      </c>
      <c r="AL12" s="57">
        <f>BaseTicketsDay*INDEX(ScenarioMatrix,1,$B$3)*(1+INDEX(ScenarioMatrix,2,$B$3))^(3-1)*INDEX(Seasonality,1,AL8)*IF(3=1,INDEX(Ramp,1,AL8),1)</f>
        <v/>
      </c>
      <c r="AM12" s="57">
        <f>SUM(C12:N12)</f>
        <v/>
      </c>
      <c r="AN12" s="57">
        <f>SUM(O12:Z12)</f>
        <v/>
      </c>
      <c r="AO12" s="57">
        <f>SUM(AA12:AL12)</f>
        <v/>
      </c>
      <c r="AP12" s="57">
        <f>SUM(AM12:AO12)</f>
        <v/>
      </c>
    </row>
    <row r="13">
      <c r="A13" s="6" t="inlineStr">
        <is>
          <t>Tickets</t>
        </is>
      </c>
      <c r="B13" s="24" t="inlineStr">
        <is>
          <t>tickets</t>
        </is>
      </c>
      <c r="C13" s="58">
        <f>C12*C9</f>
        <v/>
      </c>
      <c r="D13" s="58">
        <f>D12*D9</f>
        <v/>
      </c>
      <c r="E13" s="58">
        <f>E12*E9</f>
        <v/>
      </c>
      <c r="F13" s="58">
        <f>F12*F9</f>
        <v/>
      </c>
      <c r="G13" s="58">
        <f>G12*G9</f>
        <v/>
      </c>
      <c r="H13" s="58">
        <f>H12*H9</f>
        <v/>
      </c>
      <c r="I13" s="58">
        <f>I12*I9</f>
        <v/>
      </c>
      <c r="J13" s="58">
        <f>J12*J9</f>
        <v/>
      </c>
      <c r="K13" s="58">
        <f>K12*K9</f>
        <v/>
      </c>
      <c r="L13" s="58">
        <f>L12*L9</f>
        <v/>
      </c>
      <c r="M13" s="58">
        <f>M12*M9</f>
        <v/>
      </c>
      <c r="N13" s="58">
        <f>N12*N9</f>
        <v/>
      </c>
      <c r="O13" s="58">
        <f>O12*O9</f>
        <v/>
      </c>
      <c r="P13" s="58">
        <f>P12*P9</f>
        <v/>
      </c>
      <c r="Q13" s="58">
        <f>Q12*Q9</f>
        <v/>
      </c>
      <c r="R13" s="58">
        <f>R12*R9</f>
        <v/>
      </c>
      <c r="S13" s="58">
        <f>S12*S9</f>
        <v/>
      </c>
      <c r="T13" s="58">
        <f>T12*T9</f>
        <v/>
      </c>
      <c r="U13" s="58">
        <f>U12*U9</f>
        <v/>
      </c>
      <c r="V13" s="58">
        <f>V12*V9</f>
        <v/>
      </c>
      <c r="W13" s="58">
        <f>W12*W9</f>
        <v/>
      </c>
      <c r="X13" s="58">
        <f>X12*X9</f>
        <v/>
      </c>
      <c r="Y13" s="58">
        <f>Y12*Y9</f>
        <v/>
      </c>
      <c r="Z13" s="58">
        <f>Z12*Z9</f>
        <v/>
      </c>
      <c r="AA13" s="58">
        <f>AA12*AA9</f>
        <v/>
      </c>
      <c r="AB13" s="58">
        <f>AB12*AB9</f>
        <v/>
      </c>
      <c r="AC13" s="58">
        <f>AC12*AC9</f>
        <v/>
      </c>
      <c r="AD13" s="58">
        <f>AD12*AD9</f>
        <v/>
      </c>
      <c r="AE13" s="58">
        <f>AE12*AE9</f>
        <v/>
      </c>
      <c r="AF13" s="58">
        <f>AF12*AF9</f>
        <v/>
      </c>
      <c r="AG13" s="58">
        <f>AG12*AG9</f>
        <v/>
      </c>
      <c r="AH13" s="58">
        <f>AH12*AH9</f>
        <v/>
      </c>
      <c r="AI13" s="58">
        <f>AI12*AI9</f>
        <v/>
      </c>
      <c r="AJ13" s="58">
        <f>AJ12*AJ9</f>
        <v/>
      </c>
      <c r="AK13" s="58">
        <f>AK12*AK9</f>
        <v/>
      </c>
      <c r="AL13" s="58">
        <f>AL12*AL9</f>
        <v/>
      </c>
      <c r="AM13" s="58">
        <f>SUM(C13:N13)</f>
        <v/>
      </c>
      <c r="AN13" s="58">
        <f>SUM(O13:Z13)</f>
        <v/>
      </c>
      <c r="AO13" s="58">
        <f>SUM(AA13:AL13)</f>
        <v/>
      </c>
      <c r="AP13" s="58">
        <f>SUM(AM13:AO13)</f>
        <v/>
      </c>
    </row>
    <row r="14">
      <c r="A14" s="6" t="inlineStr">
        <is>
          <t>Ítems vendidos</t>
        </is>
      </c>
      <c r="B14" s="24" t="inlineStr">
        <is>
          <t>ítems</t>
        </is>
      </c>
      <c r="C14" s="58">
        <f>C13*ItemsPerTicket</f>
        <v/>
      </c>
      <c r="D14" s="58">
        <f>D13*ItemsPerTicket</f>
        <v/>
      </c>
      <c r="E14" s="58">
        <f>E13*ItemsPerTicket</f>
        <v/>
      </c>
      <c r="F14" s="58">
        <f>F13*ItemsPerTicket</f>
        <v/>
      </c>
      <c r="G14" s="58">
        <f>G13*ItemsPerTicket</f>
        <v/>
      </c>
      <c r="H14" s="58">
        <f>H13*ItemsPerTicket</f>
        <v/>
      </c>
      <c r="I14" s="58">
        <f>I13*ItemsPerTicket</f>
        <v/>
      </c>
      <c r="J14" s="58">
        <f>J13*ItemsPerTicket</f>
        <v/>
      </c>
      <c r="K14" s="58">
        <f>K13*ItemsPerTicket</f>
        <v/>
      </c>
      <c r="L14" s="58">
        <f>L13*ItemsPerTicket</f>
        <v/>
      </c>
      <c r="M14" s="58">
        <f>M13*ItemsPerTicket</f>
        <v/>
      </c>
      <c r="N14" s="58">
        <f>N13*ItemsPerTicket</f>
        <v/>
      </c>
      <c r="O14" s="58">
        <f>O13*ItemsPerTicket</f>
        <v/>
      </c>
      <c r="P14" s="58">
        <f>P13*ItemsPerTicket</f>
        <v/>
      </c>
      <c r="Q14" s="58">
        <f>Q13*ItemsPerTicket</f>
        <v/>
      </c>
      <c r="R14" s="58">
        <f>R13*ItemsPerTicket</f>
        <v/>
      </c>
      <c r="S14" s="58">
        <f>S13*ItemsPerTicket</f>
        <v/>
      </c>
      <c r="T14" s="58">
        <f>T13*ItemsPerTicket</f>
        <v/>
      </c>
      <c r="U14" s="58">
        <f>U13*ItemsPerTicket</f>
        <v/>
      </c>
      <c r="V14" s="58">
        <f>V13*ItemsPerTicket</f>
        <v/>
      </c>
      <c r="W14" s="58">
        <f>W13*ItemsPerTicket</f>
        <v/>
      </c>
      <c r="X14" s="58">
        <f>X13*ItemsPerTicket</f>
        <v/>
      </c>
      <c r="Y14" s="58">
        <f>Y13*ItemsPerTicket</f>
        <v/>
      </c>
      <c r="Z14" s="58">
        <f>Z13*ItemsPerTicket</f>
        <v/>
      </c>
      <c r="AA14" s="58">
        <f>AA13*ItemsPerTicket</f>
        <v/>
      </c>
      <c r="AB14" s="58">
        <f>AB13*ItemsPerTicket</f>
        <v/>
      </c>
      <c r="AC14" s="58">
        <f>AC13*ItemsPerTicket</f>
        <v/>
      </c>
      <c r="AD14" s="58">
        <f>AD13*ItemsPerTicket</f>
        <v/>
      </c>
      <c r="AE14" s="58">
        <f>AE13*ItemsPerTicket</f>
        <v/>
      </c>
      <c r="AF14" s="58">
        <f>AF13*ItemsPerTicket</f>
        <v/>
      </c>
      <c r="AG14" s="58">
        <f>AG13*ItemsPerTicket</f>
        <v/>
      </c>
      <c r="AH14" s="58">
        <f>AH13*ItemsPerTicket</f>
        <v/>
      </c>
      <c r="AI14" s="58">
        <f>AI13*ItemsPerTicket</f>
        <v/>
      </c>
      <c r="AJ14" s="58">
        <f>AJ13*ItemsPerTicket</f>
        <v/>
      </c>
      <c r="AK14" s="58">
        <f>AK13*ItemsPerTicket</f>
        <v/>
      </c>
      <c r="AL14" s="58">
        <f>AL13*ItemsPerTicket</f>
        <v/>
      </c>
      <c r="AM14" s="58">
        <f>SUM(C14:N14)</f>
        <v/>
      </c>
      <c r="AN14" s="58">
        <f>SUM(O14:Z14)</f>
        <v/>
      </c>
      <c r="AO14" s="58">
        <f>SUM(AA14:AL14)</f>
        <v/>
      </c>
      <c r="AP14" s="58">
        <f>SUM(AM14:AO14)</f>
        <v/>
      </c>
    </row>
    <row r="15">
      <c r="A15" s="6" t="inlineStr">
        <is>
          <t>Ingresos netos</t>
        </is>
      </c>
      <c r="B15" s="24" t="inlineStr">
        <is>
          <t>€</t>
        </is>
      </c>
      <c r="C15" s="59">
        <f>C14*WeightedNetPrice*(1+INDEX(ScenarioMatrix,3,$B$3))^(1-1)</f>
        <v/>
      </c>
      <c r="D15" s="59">
        <f>D14*WeightedNetPrice*(1+INDEX(ScenarioMatrix,3,$B$3))^(1-1)</f>
        <v/>
      </c>
      <c r="E15" s="59">
        <f>E14*WeightedNetPrice*(1+INDEX(ScenarioMatrix,3,$B$3))^(1-1)</f>
        <v/>
      </c>
      <c r="F15" s="59">
        <f>F14*WeightedNetPrice*(1+INDEX(ScenarioMatrix,3,$B$3))^(1-1)</f>
        <v/>
      </c>
      <c r="G15" s="59">
        <f>G14*WeightedNetPrice*(1+INDEX(ScenarioMatrix,3,$B$3))^(1-1)</f>
        <v/>
      </c>
      <c r="H15" s="59">
        <f>H14*WeightedNetPrice*(1+INDEX(ScenarioMatrix,3,$B$3))^(1-1)</f>
        <v/>
      </c>
      <c r="I15" s="59">
        <f>I14*WeightedNetPrice*(1+INDEX(ScenarioMatrix,3,$B$3))^(1-1)</f>
        <v/>
      </c>
      <c r="J15" s="59">
        <f>J14*WeightedNetPrice*(1+INDEX(ScenarioMatrix,3,$B$3))^(1-1)</f>
        <v/>
      </c>
      <c r="K15" s="59">
        <f>K14*WeightedNetPrice*(1+INDEX(ScenarioMatrix,3,$B$3))^(1-1)</f>
        <v/>
      </c>
      <c r="L15" s="59">
        <f>L14*WeightedNetPrice*(1+INDEX(ScenarioMatrix,3,$B$3))^(1-1)</f>
        <v/>
      </c>
      <c r="M15" s="59">
        <f>M14*WeightedNetPrice*(1+INDEX(ScenarioMatrix,3,$B$3))^(1-1)</f>
        <v/>
      </c>
      <c r="N15" s="59">
        <f>N14*WeightedNetPrice*(1+INDEX(ScenarioMatrix,3,$B$3))^(1-1)</f>
        <v/>
      </c>
      <c r="O15" s="59">
        <f>O14*WeightedNetPrice*(1+INDEX(ScenarioMatrix,3,$B$3))^(2-1)</f>
        <v/>
      </c>
      <c r="P15" s="59">
        <f>P14*WeightedNetPrice*(1+INDEX(ScenarioMatrix,3,$B$3))^(2-1)</f>
        <v/>
      </c>
      <c r="Q15" s="59">
        <f>Q14*WeightedNetPrice*(1+INDEX(ScenarioMatrix,3,$B$3))^(2-1)</f>
        <v/>
      </c>
      <c r="R15" s="59">
        <f>R14*WeightedNetPrice*(1+INDEX(ScenarioMatrix,3,$B$3))^(2-1)</f>
        <v/>
      </c>
      <c r="S15" s="59">
        <f>S14*WeightedNetPrice*(1+INDEX(ScenarioMatrix,3,$B$3))^(2-1)</f>
        <v/>
      </c>
      <c r="T15" s="59">
        <f>T14*WeightedNetPrice*(1+INDEX(ScenarioMatrix,3,$B$3))^(2-1)</f>
        <v/>
      </c>
      <c r="U15" s="59">
        <f>U14*WeightedNetPrice*(1+INDEX(ScenarioMatrix,3,$B$3))^(2-1)</f>
        <v/>
      </c>
      <c r="V15" s="59">
        <f>V14*WeightedNetPrice*(1+INDEX(ScenarioMatrix,3,$B$3))^(2-1)</f>
        <v/>
      </c>
      <c r="W15" s="59">
        <f>W14*WeightedNetPrice*(1+INDEX(ScenarioMatrix,3,$B$3))^(2-1)</f>
        <v/>
      </c>
      <c r="X15" s="59">
        <f>X14*WeightedNetPrice*(1+INDEX(ScenarioMatrix,3,$B$3))^(2-1)</f>
        <v/>
      </c>
      <c r="Y15" s="59">
        <f>Y14*WeightedNetPrice*(1+INDEX(ScenarioMatrix,3,$B$3))^(2-1)</f>
        <v/>
      </c>
      <c r="Z15" s="59">
        <f>Z14*WeightedNetPrice*(1+INDEX(ScenarioMatrix,3,$B$3))^(2-1)</f>
        <v/>
      </c>
      <c r="AA15" s="59">
        <f>AA14*WeightedNetPrice*(1+INDEX(ScenarioMatrix,3,$B$3))^(3-1)</f>
        <v/>
      </c>
      <c r="AB15" s="59">
        <f>AB14*WeightedNetPrice*(1+INDEX(ScenarioMatrix,3,$B$3))^(3-1)</f>
        <v/>
      </c>
      <c r="AC15" s="59">
        <f>AC14*WeightedNetPrice*(1+INDEX(ScenarioMatrix,3,$B$3))^(3-1)</f>
        <v/>
      </c>
      <c r="AD15" s="59">
        <f>AD14*WeightedNetPrice*(1+INDEX(ScenarioMatrix,3,$B$3))^(3-1)</f>
        <v/>
      </c>
      <c r="AE15" s="59">
        <f>AE14*WeightedNetPrice*(1+INDEX(ScenarioMatrix,3,$B$3))^(3-1)</f>
        <v/>
      </c>
      <c r="AF15" s="59">
        <f>AF14*WeightedNetPrice*(1+INDEX(ScenarioMatrix,3,$B$3))^(3-1)</f>
        <v/>
      </c>
      <c r="AG15" s="59">
        <f>AG14*WeightedNetPrice*(1+INDEX(ScenarioMatrix,3,$B$3))^(3-1)</f>
        <v/>
      </c>
      <c r="AH15" s="59">
        <f>AH14*WeightedNetPrice*(1+INDEX(ScenarioMatrix,3,$B$3))^(3-1)</f>
        <v/>
      </c>
      <c r="AI15" s="59">
        <f>AI14*WeightedNetPrice*(1+INDEX(ScenarioMatrix,3,$B$3))^(3-1)</f>
        <v/>
      </c>
      <c r="AJ15" s="59">
        <f>AJ14*WeightedNetPrice*(1+INDEX(ScenarioMatrix,3,$B$3))^(3-1)</f>
        <v/>
      </c>
      <c r="AK15" s="59">
        <f>AK14*WeightedNetPrice*(1+INDEX(ScenarioMatrix,3,$B$3))^(3-1)</f>
        <v/>
      </c>
      <c r="AL15" s="59">
        <f>AL14*WeightedNetPrice*(1+INDEX(ScenarioMatrix,3,$B$3))^(3-1)</f>
        <v/>
      </c>
      <c r="AM15" s="59">
        <f>SUM(C15:N15)</f>
        <v/>
      </c>
      <c r="AN15" s="59">
        <f>SUM(O15:Z15)</f>
        <v/>
      </c>
      <c r="AO15" s="59">
        <f>SUM(AA15:AL15)</f>
        <v/>
      </c>
      <c r="AP15" s="59">
        <f>SUM(AM15:AO15)</f>
        <v/>
      </c>
    </row>
    <row r="16">
      <c r="A16" s="6" t="inlineStr">
        <is>
          <t>COGS</t>
        </is>
      </c>
      <c r="B16" s="24" t="inlineStr">
        <is>
          <t>€</t>
        </is>
      </c>
      <c r="C16" s="60">
        <f>C14*WeightedCostAdj*(1+INDEX(ScenarioMatrix,4,$B$3))^(1-1)</f>
        <v/>
      </c>
      <c r="D16" s="60">
        <f>D14*WeightedCostAdj*(1+INDEX(ScenarioMatrix,4,$B$3))^(1-1)</f>
        <v/>
      </c>
      <c r="E16" s="60">
        <f>E14*WeightedCostAdj*(1+INDEX(ScenarioMatrix,4,$B$3))^(1-1)</f>
        <v/>
      </c>
      <c r="F16" s="60">
        <f>F14*WeightedCostAdj*(1+INDEX(ScenarioMatrix,4,$B$3))^(1-1)</f>
        <v/>
      </c>
      <c r="G16" s="60">
        <f>G14*WeightedCostAdj*(1+INDEX(ScenarioMatrix,4,$B$3))^(1-1)</f>
        <v/>
      </c>
      <c r="H16" s="60">
        <f>H14*WeightedCostAdj*(1+INDEX(ScenarioMatrix,4,$B$3))^(1-1)</f>
        <v/>
      </c>
      <c r="I16" s="60">
        <f>I14*WeightedCostAdj*(1+INDEX(ScenarioMatrix,4,$B$3))^(1-1)</f>
        <v/>
      </c>
      <c r="J16" s="60">
        <f>J14*WeightedCostAdj*(1+INDEX(ScenarioMatrix,4,$B$3))^(1-1)</f>
        <v/>
      </c>
      <c r="K16" s="60">
        <f>K14*WeightedCostAdj*(1+INDEX(ScenarioMatrix,4,$B$3))^(1-1)</f>
        <v/>
      </c>
      <c r="L16" s="60">
        <f>L14*WeightedCostAdj*(1+INDEX(ScenarioMatrix,4,$B$3))^(1-1)</f>
        <v/>
      </c>
      <c r="M16" s="60">
        <f>M14*WeightedCostAdj*(1+INDEX(ScenarioMatrix,4,$B$3))^(1-1)</f>
        <v/>
      </c>
      <c r="N16" s="60">
        <f>N14*WeightedCostAdj*(1+INDEX(ScenarioMatrix,4,$B$3))^(1-1)</f>
        <v/>
      </c>
      <c r="O16" s="60">
        <f>O14*WeightedCostAdj*(1+INDEX(ScenarioMatrix,4,$B$3))^(2-1)</f>
        <v/>
      </c>
      <c r="P16" s="60">
        <f>P14*WeightedCostAdj*(1+INDEX(ScenarioMatrix,4,$B$3))^(2-1)</f>
        <v/>
      </c>
      <c r="Q16" s="60">
        <f>Q14*WeightedCostAdj*(1+INDEX(ScenarioMatrix,4,$B$3))^(2-1)</f>
        <v/>
      </c>
      <c r="R16" s="60">
        <f>R14*WeightedCostAdj*(1+INDEX(ScenarioMatrix,4,$B$3))^(2-1)</f>
        <v/>
      </c>
      <c r="S16" s="60">
        <f>S14*WeightedCostAdj*(1+INDEX(ScenarioMatrix,4,$B$3))^(2-1)</f>
        <v/>
      </c>
      <c r="T16" s="60">
        <f>T14*WeightedCostAdj*(1+INDEX(ScenarioMatrix,4,$B$3))^(2-1)</f>
        <v/>
      </c>
      <c r="U16" s="60">
        <f>U14*WeightedCostAdj*(1+INDEX(ScenarioMatrix,4,$B$3))^(2-1)</f>
        <v/>
      </c>
      <c r="V16" s="60">
        <f>V14*WeightedCostAdj*(1+INDEX(ScenarioMatrix,4,$B$3))^(2-1)</f>
        <v/>
      </c>
      <c r="W16" s="60">
        <f>W14*WeightedCostAdj*(1+INDEX(ScenarioMatrix,4,$B$3))^(2-1)</f>
        <v/>
      </c>
      <c r="X16" s="60">
        <f>X14*WeightedCostAdj*(1+INDEX(ScenarioMatrix,4,$B$3))^(2-1)</f>
        <v/>
      </c>
      <c r="Y16" s="60">
        <f>Y14*WeightedCostAdj*(1+INDEX(ScenarioMatrix,4,$B$3))^(2-1)</f>
        <v/>
      </c>
      <c r="Z16" s="60">
        <f>Z14*WeightedCostAdj*(1+INDEX(ScenarioMatrix,4,$B$3))^(2-1)</f>
        <v/>
      </c>
      <c r="AA16" s="60">
        <f>AA14*WeightedCostAdj*(1+INDEX(ScenarioMatrix,4,$B$3))^(3-1)</f>
        <v/>
      </c>
      <c r="AB16" s="60">
        <f>AB14*WeightedCostAdj*(1+INDEX(ScenarioMatrix,4,$B$3))^(3-1)</f>
        <v/>
      </c>
      <c r="AC16" s="60">
        <f>AC14*WeightedCostAdj*(1+INDEX(ScenarioMatrix,4,$B$3))^(3-1)</f>
        <v/>
      </c>
      <c r="AD16" s="60">
        <f>AD14*WeightedCostAdj*(1+INDEX(ScenarioMatrix,4,$B$3))^(3-1)</f>
        <v/>
      </c>
      <c r="AE16" s="60">
        <f>AE14*WeightedCostAdj*(1+INDEX(ScenarioMatrix,4,$B$3))^(3-1)</f>
        <v/>
      </c>
      <c r="AF16" s="60">
        <f>AF14*WeightedCostAdj*(1+INDEX(ScenarioMatrix,4,$B$3))^(3-1)</f>
        <v/>
      </c>
      <c r="AG16" s="60">
        <f>AG14*WeightedCostAdj*(1+INDEX(ScenarioMatrix,4,$B$3))^(3-1)</f>
        <v/>
      </c>
      <c r="AH16" s="60">
        <f>AH14*WeightedCostAdj*(1+INDEX(ScenarioMatrix,4,$B$3))^(3-1)</f>
        <v/>
      </c>
      <c r="AI16" s="60">
        <f>AI14*WeightedCostAdj*(1+INDEX(ScenarioMatrix,4,$B$3))^(3-1)</f>
        <v/>
      </c>
      <c r="AJ16" s="60">
        <f>AJ14*WeightedCostAdj*(1+INDEX(ScenarioMatrix,4,$B$3))^(3-1)</f>
        <v/>
      </c>
      <c r="AK16" s="60">
        <f>AK14*WeightedCostAdj*(1+INDEX(ScenarioMatrix,4,$B$3))^(3-1)</f>
        <v/>
      </c>
      <c r="AL16" s="60">
        <f>AL14*WeightedCostAdj*(1+INDEX(ScenarioMatrix,4,$B$3))^(3-1)</f>
        <v/>
      </c>
      <c r="AM16" s="60">
        <f>SUM(C16:N16)</f>
        <v/>
      </c>
      <c r="AN16" s="60">
        <f>SUM(O16:Z16)</f>
        <v/>
      </c>
      <c r="AO16" s="60">
        <f>SUM(AA16:AL16)</f>
        <v/>
      </c>
      <c r="AP16" s="60">
        <f>SUM(AM16:AO16)</f>
        <v/>
      </c>
    </row>
    <row r="17">
      <c r="A17" s="6" t="inlineStr">
        <is>
          <t>Margen bruto</t>
        </is>
      </c>
      <c r="B17" s="24" t="inlineStr">
        <is>
          <t>€</t>
        </is>
      </c>
      <c r="C17" s="59">
        <f>C15-C16</f>
        <v/>
      </c>
      <c r="D17" s="59">
        <f>D15-D16</f>
        <v/>
      </c>
      <c r="E17" s="59">
        <f>E15-E16</f>
        <v/>
      </c>
      <c r="F17" s="59">
        <f>F15-F16</f>
        <v/>
      </c>
      <c r="G17" s="59">
        <f>G15-G16</f>
        <v/>
      </c>
      <c r="H17" s="59">
        <f>H15-H16</f>
        <v/>
      </c>
      <c r="I17" s="59">
        <f>I15-I16</f>
        <v/>
      </c>
      <c r="J17" s="59">
        <f>J15-J16</f>
        <v/>
      </c>
      <c r="K17" s="59">
        <f>K15-K16</f>
        <v/>
      </c>
      <c r="L17" s="59">
        <f>L15-L16</f>
        <v/>
      </c>
      <c r="M17" s="59">
        <f>M15-M16</f>
        <v/>
      </c>
      <c r="N17" s="59">
        <f>N15-N16</f>
        <v/>
      </c>
      <c r="O17" s="59">
        <f>O15-O16</f>
        <v/>
      </c>
      <c r="P17" s="59">
        <f>P15-P16</f>
        <v/>
      </c>
      <c r="Q17" s="59">
        <f>Q15-Q16</f>
        <v/>
      </c>
      <c r="R17" s="59">
        <f>R15-R16</f>
        <v/>
      </c>
      <c r="S17" s="59">
        <f>S15-S16</f>
        <v/>
      </c>
      <c r="T17" s="59">
        <f>T15-T16</f>
        <v/>
      </c>
      <c r="U17" s="59">
        <f>U15-U16</f>
        <v/>
      </c>
      <c r="V17" s="59">
        <f>V15-V16</f>
        <v/>
      </c>
      <c r="W17" s="59">
        <f>W15-W16</f>
        <v/>
      </c>
      <c r="X17" s="59">
        <f>X15-X16</f>
        <v/>
      </c>
      <c r="Y17" s="59">
        <f>Y15-Y16</f>
        <v/>
      </c>
      <c r="Z17" s="59">
        <f>Z15-Z16</f>
        <v/>
      </c>
      <c r="AA17" s="59">
        <f>AA15-AA16</f>
        <v/>
      </c>
      <c r="AB17" s="59">
        <f>AB15-AB16</f>
        <v/>
      </c>
      <c r="AC17" s="59">
        <f>AC15-AC16</f>
        <v/>
      </c>
      <c r="AD17" s="59">
        <f>AD15-AD16</f>
        <v/>
      </c>
      <c r="AE17" s="59">
        <f>AE15-AE16</f>
        <v/>
      </c>
      <c r="AF17" s="59">
        <f>AF15-AF16</f>
        <v/>
      </c>
      <c r="AG17" s="59">
        <f>AG15-AG16</f>
        <v/>
      </c>
      <c r="AH17" s="59">
        <f>AH15-AH16</f>
        <v/>
      </c>
      <c r="AI17" s="59">
        <f>AI15-AI16</f>
        <v/>
      </c>
      <c r="AJ17" s="59">
        <f>AJ15-AJ16</f>
        <v/>
      </c>
      <c r="AK17" s="59">
        <f>AK15-AK16</f>
        <v/>
      </c>
      <c r="AL17" s="59">
        <f>AL15-AL16</f>
        <v/>
      </c>
      <c r="AM17" s="59">
        <f>SUM(C17:N17)</f>
        <v/>
      </c>
      <c r="AN17" s="59">
        <f>SUM(O17:Z17)</f>
        <v/>
      </c>
      <c r="AO17" s="59">
        <f>SUM(AA17:AL17)</f>
        <v/>
      </c>
      <c r="AP17" s="59">
        <f>SUM(AM17:AO17)</f>
        <v/>
      </c>
    </row>
    <row r="18">
      <c r="A18" s="6" t="inlineStr">
        <is>
          <t>Personal</t>
        </is>
      </c>
      <c r="B18" s="24" t="inlineStr">
        <is>
          <t>€</t>
        </is>
      </c>
      <c r="C18" s="60">
        <f>INDEX(StaffCostByYear,1,C7)*INDEX(ScenarioMatrix,5,$B$3)/12</f>
        <v/>
      </c>
      <c r="D18" s="60">
        <f>INDEX(StaffCostByYear,1,D7)*INDEX(ScenarioMatrix,5,$B$3)/12</f>
        <v/>
      </c>
      <c r="E18" s="60">
        <f>INDEX(StaffCostByYear,1,E7)*INDEX(ScenarioMatrix,5,$B$3)/12</f>
        <v/>
      </c>
      <c r="F18" s="60">
        <f>INDEX(StaffCostByYear,1,F7)*INDEX(ScenarioMatrix,5,$B$3)/12</f>
        <v/>
      </c>
      <c r="G18" s="60">
        <f>INDEX(StaffCostByYear,1,G7)*INDEX(ScenarioMatrix,5,$B$3)/12</f>
        <v/>
      </c>
      <c r="H18" s="60">
        <f>INDEX(StaffCostByYear,1,H7)*INDEX(ScenarioMatrix,5,$B$3)/12</f>
        <v/>
      </c>
      <c r="I18" s="60">
        <f>INDEX(StaffCostByYear,1,I7)*INDEX(ScenarioMatrix,5,$B$3)/12</f>
        <v/>
      </c>
      <c r="J18" s="60">
        <f>INDEX(StaffCostByYear,1,J7)*INDEX(ScenarioMatrix,5,$B$3)/12</f>
        <v/>
      </c>
      <c r="K18" s="60">
        <f>INDEX(StaffCostByYear,1,K7)*INDEX(ScenarioMatrix,5,$B$3)/12</f>
        <v/>
      </c>
      <c r="L18" s="60">
        <f>INDEX(StaffCostByYear,1,L7)*INDEX(ScenarioMatrix,5,$B$3)/12</f>
        <v/>
      </c>
      <c r="M18" s="60">
        <f>INDEX(StaffCostByYear,1,M7)*INDEX(ScenarioMatrix,5,$B$3)/12</f>
        <v/>
      </c>
      <c r="N18" s="60">
        <f>INDEX(StaffCostByYear,1,N7)*INDEX(ScenarioMatrix,5,$B$3)/12</f>
        <v/>
      </c>
      <c r="O18" s="60">
        <f>INDEX(StaffCostByYear,1,O7)*INDEX(ScenarioMatrix,5,$B$3)/12</f>
        <v/>
      </c>
      <c r="P18" s="60">
        <f>INDEX(StaffCostByYear,1,P7)*INDEX(ScenarioMatrix,5,$B$3)/12</f>
        <v/>
      </c>
      <c r="Q18" s="60">
        <f>INDEX(StaffCostByYear,1,Q7)*INDEX(ScenarioMatrix,5,$B$3)/12</f>
        <v/>
      </c>
      <c r="R18" s="60">
        <f>INDEX(StaffCostByYear,1,R7)*INDEX(ScenarioMatrix,5,$B$3)/12</f>
        <v/>
      </c>
      <c r="S18" s="60">
        <f>INDEX(StaffCostByYear,1,S7)*INDEX(ScenarioMatrix,5,$B$3)/12</f>
        <v/>
      </c>
      <c r="T18" s="60">
        <f>INDEX(StaffCostByYear,1,T7)*INDEX(ScenarioMatrix,5,$B$3)/12</f>
        <v/>
      </c>
      <c r="U18" s="60">
        <f>INDEX(StaffCostByYear,1,U7)*INDEX(ScenarioMatrix,5,$B$3)/12</f>
        <v/>
      </c>
      <c r="V18" s="60">
        <f>INDEX(StaffCostByYear,1,V7)*INDEX(ScenarioMatrix,5,$B$3)/12</f>
        <v/>
      </c>
      <c r="W18" s="60">
        <f>INDEX(StaffCostByYear,1,W7)*INDEX(ScenarioMatrix,5,$B$3)/12</f>
        <v/>
      </c>
      <c r="X18" s="60">
        <f>INDEX(StaffCostByYear,1,X7)*INDEX(ScenarioMatrix,5,$B$3)/12</f>
        <v/>
      </c>
      <c r="Y18" s="60">
        <f>INDEX(StaffCostByYear,1,Y7)*INDEX(ScenarioMatrix,5,$B$3)/12</f>
        <v/>
      </c>
      <c r="Z18" s="60">
        <f>INDEX(StaffCostByYear,1,Z7)*INDEX(ScenarioMatrix,5,$B$3)/12</f>
        <v/>
      </c>
      <c r="AA18" s="60">
        <f>INDEX(StaffCostByYear,1,AA7)*INDEX(ScenarioMatrix,5,$B$3)/12</f>
        <v/>
      </c>
      <c r="AB18" s="60">
        <f>INDEX(StaffCostByYear,1,AB7)*INDEX(ScenarioMatrix,5,$B$3)/12</f>
        <v/>
      </c>
      <c r="AC18" s="60">
        <f>INDEX(StaffCostByYear,1,AC7)*INDEX(ScenarioMatrix,5,$B$3)/12</f>
        <v/>
      </c>
      <c r="AD18" s="60">
        <f>INDEX(StaffCostByYear,1,AD7)*INDEX(ScenarioMatrix,5,$B$3)/12</f>
        <v/>
      </c>
      <c r="AE18" s="60">
        <f>INDEX(StaffCostByYear,1,AE7)*INDEX(ScenarioMatrix,5,$B$3)/12</f>
        <v/>
      </c>
      <c r="AF18" s="60">
        <f>INDEX(StaffCostByYear,1,AF7)*INDEX(ScenarioMatrix,5,$B$3)/12</f>
        <v/>
      </c>
      <c r="AG18" s="60">
        <f>INDEX(StaffCostByYear,1,AG7)*INDEX(ScenarioMatrix,5,$B$3)/12</f>
        <v/>
      </c>
      <c r="AH18" s="60">
        <f>INDEX(StaffCostByYear,1,AH7)*INDEX(ScenarioMatrix,5,$B$3)/12</f>
        <v/>
      </c>
      <c r="AI18" s="60">
        <f>INDEX(StaffCostByYear,1,AI7)*INDEX(ScenarioMatrix,5,$B$3)/12</f>
        <v/>
      </c>
      <c r="AJ18" s="60">
        <f>INDEX(StaffCostByYear,1,AJ7)*INDEX(ScenarioMatrix,5,$B$3)/12</f>
        <v/>
      </c>
      <c r="AK18" s="60">
        <f>INDEX(StaffCostByYear,1,AK7)*INDEX(ScenarioMatrix,5,$B$3)/12</f>
        <v/>
      </c>
      <c r="AL18" s="60">
        <f>INDEX(StaffCostByYear,1,AL7)*INDEX(ScenarioMatrix,5,$B$3)/12</f>
        <v/>
      </c>
      <c r="AM18" s="60">
        <f>SUM(C18:N18)</f>
        <v/>
      </c>
      <c r="AN18" s="60">
        <f>SUM(O18:Z18)</f>
        <v/>
      </c>
      <c r="AO18" s="60">
        <f>SUM(AA18:AL18)</f>
        <v/>
      </c>
      <c r="AP18" s="60">
        <f>SUM(AM18:AO18)</f>
        <v/>
      </c>
    </row>
    <row r="19">
      <c r="A19" s="6" t="inlineStr">
        <is>
          <t>Alquiler</t>
        </is>
      </c>
      <c r="B19" s="24" t="inlineStr">
        <is>
          <t>€</t>
        </is>
      </c>
      <c r="C19" s="60">
        <f>RentMonth*INDEX(ScenarioMatrix,6,$B$3)*(1+RentGrowth)^(C7-1)</f>
        <v/>
      </c>
      <c r="D19" s="60">
        <f>RentMonth*INDEX(ScenarioMatrix,6,$B$3)*(1+RentGrowth)^(D7-1)</f>
        <v/>
      </c>
      <c r="E19" s="60">
        <f>RentMonth*INDEX(ScenarioMatrix,6,$B$3)*(1+RentGrowth)^(E7-1)</f>
        <v/>
      </c>
      <c r="F19" s="60">
        <f>RentMonth*INDEX(ScenarioMatrix,6,$B$3)*(1+RentGrowth)^(F7-1)</f>
        <v/>
      </c>
      <c r="G19" s="60">
        <f>RentMonth*INDEX(ScenarioMatrix,6,$B$3)*(1+RentGrowth)^(G7-1)</f>
        <v/>
      </c>
      <c r="H19" s="60">
        <f>RentMonth*INDEX(ScenarioMatrix,6,$B$3)*(1+RentGrowth)^(H7-1)</f>
        <v/>
      </c>
      <c r="I19" s="60">
        <f>RentMonth*INDEX(ScenarioMatrix,6,$B$3)*(1+RentGrowth)^(I7-1)</f>
        <v/>
      </c>
      <c r="J19" s="60">
        <f>RentMonth*INDEX(ScenarioMatrix,6,$B$3)*(1+RentGrowth)^(J7-1)</f>
        <v/>
      </c>
      <c r="K19" s="60">
        <f>RentMonth*INDEX(ScenarioMatrix,6,$B$3)*(1+RentGrowth)^(K7-1)</f>
        <v/>
      </c>
      <c r="L19" s="60">
        <f>RentMonth*INDEX(ScenarioMatrix,6,$B$3)*(1+RentGrowth)^(L7-1)</f>
        <v/>
      </c>
      <c r="M19" s="60">
        <f>RentMonth*INDEX(ScenarioMatrix,6,$B$3)*(1+RentGrowth)^(M7-1)</f>
        <v/>
      </c>
      <c r="N19" s="60">
        <f>RentMonth*INDEX(ScenarioMatrix,6,$B$3)*(1+RentGrowth)^(N7-1)</f>
        <v/>
      </c>
      <c r="O19" s="60">
        <f>RentMonth*INDEX(ScenarioMatrix,6,$B$3)*(1+RentGrowth)^(O7-1)</f>
        <v/>
      </c>
      <c r="P19" s="60">
        <f>RentMonth*INDEX(ScenarioMatrix,6,$B$3)*(1+RentGrowth)^(P7-1)</f>
        <v/>
      </c>
      <c r="Q19" s="60">
        <f>RentMonth*INDEX(ScenarioMatrix,6,$B$3)*(1+RentGrowth)^(Q7-1)</f>
        <v/>
      </c>
      <c r="R19" s="60">
        <f>RentMonth*INDEX(ScenarioMatrix,6,$B$3)*(1+RentGrowth)^(R7-1)</f>
        <v/>
      </c>
      <c r="S19" s="60">
        <f>RentMonth*INDEX(ScenarioMatrix,6,$B$3)*(1+RentGrowth)^(S7-1)</f>
        <v/>
      </c>
      <c r="T19" s="60">
        <f>RentMonth*INDEX(ScenarioMatrix,6,$B$3)*(1+RentGrowth)^(T7-1)</f>
        <v/>
      </c>
      <c r="U19" s="60">
        <f>RentMonth*INDEX(ScenarioMatrix,6,$B$3)*(1+RentGrowth)^(U7-1)</f>
        <v/>
      </c>
      <c r="V19" s="60">
        <f>RentMonth*INDEX(ScenarioMatrix,6,$B$3)*(1+RentGrowth)^(V7-1)</f>
        <v/>
      </c>
      <c r="W19" s="60">
        <f>RentMonth*INDEX(ScenarioMatrix,6,$B$3)*(1+RentGrowth)^(W7-1)</f>
        <v/>
      </c>
      <c r="X19" s="60">
        <f>RentMonth*INDEX(ScenarioMatrix,6,$B$3)*(1+RentGrowth)^(X7-1)</f>
        <v/>
      </c>
      <c r="Y19" s="60">
        <f>RentMonth*INDEX(ScenarioMatrix,6,$B$3)*(1+RentGrowth)^(Y7-1)</f>
        <v/>
      </c>
      <c r="Z19" s="60">
        <f>RentMonth*INDEX(ScenarioMatrix,6,$B$3)*(1+RentGrowth)^(Z7-1)</f>
        <v/>
      </c>
      <c r="AA19" s="60">
        <f>RentMonth*INDEX(ScenarioMatrix,6,$B$3)*(1+RentGrowth)^(AA7-1)</f>
        <v/>
      </c>
      <c r="AB19" s="60">
        <f>RentMonth*INDEX(ScenarioMatrix,6,$B$3)*(1+RentGrowth)^(AB7-1)</f>
        <v/>
      </c>
      <c r="AC19" s="60">
        <f>RentMonth*INDEX(ScenarioMatrix,6,$B$3)*(1+RentGrowth)^(AC7-1)</f>
        <v/>
      </c>
      <c r="AD19" s="60">
        <f>RentMonth*INDEX(ScenarioMatrix,6,$B$3)*(1+RentGrowth)^(AD7-1)</f>
        <v/>
      </c>
      <c r="AE19" s="60">
        <f>RentMonth*INDEX(ScenarioMatrix,6,$B$3)*(1+RentGrowth)^(AE7-1)</f>
        <v/>
      </c>
      <c r="AF19" s="60">
        <f>RentMonth*INDEX(ScenarioMatrix,6,$B$3)*(1+RentGrowth)^(AF7-1)</f>
        <v/>
      </c>
      <c r="AG19" s="60">
        <f>RentMonth*INDEX(ScenarioMatrix,6,$B$3)*(1+RentGrowth)^(AG7-1)</f>
        <v/>
      </c>
      <c r="AH19" s="60">
        <f>RentMonth*INDEX(ScenarioMatrix,6,$B$3)*(1+RentGrowth)^(AH7-1)</f>
        <v/>
      </c>
      <c r="AI19" s="60">
        <f>RentMonth*INDEX(ScenarioMatrix,6,$B$3)*(1+RentGrowth)^(AI7-1)</f>
        <v/>
      </c>
      <c r="AJ19" s="60">
        <f>RentMonth*INDEX(ScenarioMatrix,6,$B$3)*(1+RentGrowth)^(AJ7-1)</f>
        <v/>
      </c>
      <c r="AK19" s="60">
        <f>RentMonth*INDEX(ScenarioMatrix,6,$B$3)*(1+RentGrowth)^(AK7-1)</f>
        <v/>
      </c>
      <c r="AL19" s="60">
        <f>RentMonth*INDEX(ScenarioMatrix,6,$B$3)*(1+RentGrowth)^(AL7-1)</f>
        <v/>
      </c>
      <c r="AM19" s="60">
        <f>SUM(C19:N19)</f>
        <v/>
      </c>
      <c r="AN19" s="60">
        <f>SUM(O19:Z19)</f>
        <v/>
      </c>
      <c r="AO19" s="60">
        <f>SUM(AA19:AL19)</f>
        <v/>
      </c>
      <c r="AP19" s="60">
        <f>SUM(AM19:AO19)</f>
        <v/>
      </c>
    </row>
    <row r="20">
      <c r="A20" s="6" t="inlineStr">
        <is>
          <t>Suministros</t>
        </is>
      </c>
      <c r="B20" s="24" t="inlineStr">
        <is>
          <t>€</t>
        </is>
      </c>
      <c r="C20" s="60">
        <f>UtilitiesMonth*(1+INDEX(ScenarioMatrix,7,$B$3))^(C7-1)</f>
        <v/>
      </c>
      <c r="D20" s="60">
        <f>UtilitiesMonth*(1+INDEX(ScenarioMatrix,7,$B$3))^(D7-1)</f>
        <v/>
      </c>
      <c r="E20" s="60">
        <f>UtilitiesMonth*(1+INDEX(ScenarioMatrix,7,$B$3))^(E7-1)</f>
        <v/>
      </c>
      <c r="F20" s="60">
        <f>UtilitiesMonth*(1+INDEX(ScenarioMatrix,7,$B$3))^(F7-1)</f>
        <v/>
      </c>
      <c r="G20" s="60">
        <f>UtilitiesMonth*(1+INDEX(ScenarioMatrix,7,$B$3))^(G7-1)</f>
        <v/>
      </c>
      <c r="H20" s="60">
        <f>UtilitiesMonth*(1+INDEX(ScenarioMatrix,7,$B$3))^(H7-1)</f>
        <v/>
      </c>
      <c r="I20" s="60">
        <f>UtilitiesMonth*(1+INDEX(ScenarioMatrix,7,$B$3))^(I7-1)</f>
        <v/>
      </c>
      <c r="J20" s="60">
        <f>UtilitiesMonth*(1+INDEX(ScenarioMatrix,7,$B$3))^(J7-1)</f>
        <v/>
      </c>
      <c r="K20" s="60">
        <f>UtilitiesMonth*(1+INDEX(ScenarioMatrix,7,$B$3))^(K7-1)</f>
        <v/>
      </c>
      <c r="L20" s="60">
        <f>UtilitiesMonth*(1+INDEX(ScenarioMatrix,7,$B$3))^(L7-1)</f>
        <v/>
      </c>
      <c r="M20" s="60">
        <f>UtilitiesMonth*(1+INDEX(ScenarioMatrix,7,$B$3))^(M7-1)</f>
        <v/>
      </c>
      <c r="N20" s="60">
        <f>UtilitiesMonth*(1+INDEX(ScenarioMatrix,7,$B$3))^(N7-1)</f>
        <v/>
      </c>
      <c r="O20" s="60">
        <f>UtilitiesMonth*(1+INDEX(ScenarioMatrix,7,$B$3))^(O7-1)</f>
        <v/>
      </c>
      <c r="P20" s="60">
        <f>UtilitiesMonth*(1+INDEX(ScenarioMatrix,7,$B$3))^(P7-1)</f>
        <v/>
      </c>
      <c r="Q20" s="60">
        <f>UtilitiesMonth*(1+INDEX(ScenarioMatrix,7,$B$3))^(Q7-1)</f>
        <v/>
      </c>
      <c r="R20" s="60">
        <f>UtilitiesMonth*(1+INDEX(ScenarioMatrix,7,$B$3))^(R7-1)</f>
        <v/>
      </c>
      <c r="S20" s="60">
        <f>UtilitiesMonth*(1+INDEX(ScenarioMatrix,7,$B$3))^(S7-1)</f>
        <v/>
      </c>
      <c r="T20" s="60">
        <f>UtilitiesMonth*(1+INDEX(ScenarioMatrix,7,$B$3))^(T7-1)</f>
        <v/>
      </c>
      <c r="U20" s="60">
        <f>UtilitiesMonth*(1+INDEX(ScenarioMatrix,7,$B$3))^(U7-1)</f>
        <v/>
      </c>
      <c r="V20" s="60">
        <f>UtilitiesMonth*(1+INDEX(ScenarioMatrix,7,$B$3))^(V7-1)</f>
        <v/>
      </c>
      <c r="W20" s="60">
        <f>UtilitiesMonth*(1+INDEX(ScenarioMatrix,7,$B$3))^(W7-1)</f>
        <v/>
      </c>
      <c r="X20" s="60">
        <f>UtilitiesMonth*(1+INDEX(ScenarioMatrix,7,$B$3))^(X7-1)</f>
        <v/>
      </c>
      <c r="Y20" s="60">
        <f>UtilitiesMonth*(1+INDEX(ScenarioMatrix,7,$B$3))^(Y7-1)</f>
        <v/>
      </c>
      <c r="Z20" s="60">
        <f>UtilitiesMonth*(1+INDEX(ScenarioMatrix,7,$B$3))^(Z7-1)</f>
        <v/>
      </c>
      <c r="AA20" s="60">
        <f>UtilitiesMonth*(1+INDEX(ScenarioMatrix,7,$B$3))^(AA7-1)</f>
        <v/>
      </c>
      <c r="AB20" s="60">
        <f>UtilitiesMonth*(1+INDEX(ScenarioMatrix,7,$B$3))^(AB7-1)</f>
        <v/>
      </c>
      <c r="AC20" s="60">
        <f>UtilitiesMonth*(1+INDEX(ScenarioMatrix,7,$B$3))^(AC7-1)</f>
        <v/>
      </c>
      <c r="AD20" s="60">
        <f>UtilitiesMonth*(1+INDEX(ScenarioMatrix,7,$B$3))^(AD7-1)</f>
        <v/>
      </c>
      <c r="AE20" s="60">
        <f>UtilitiesMonth*(1+INDEX(ScenarioMatrix,7,$B$3))^(AE7-1)</f>
        <v/>
      </c>
      <c r="AF20" s="60">
        <f>UtilitiesMonth*(1+INDEX(ScenarioMatrix,7,$B$3))^(AF7-1)</f>
        <v/>
      </c>
      <c r="AG20" s="60">
        <f>UtilitiesMonth*(1+INDEX(ScenarioMatrix,7,$B$3))^(AG7-1)</f>
        <v/>
      </c>
      <c r="AH20" s="60">
        <f>UtilitiesMonth*(1+INDEX(ScenarioMatrix,7,$B$3))^(AH7-1)</f>
        <v/>
      </c>
      <c r="AI20" s="60">
        <f>UtilitiesMonth*(1+INDEX(ScenarioMatrix,7,$B$3))^(AI7-1)</f>
        <v/>
      </c>
      <c r="AJ20" s="60">
        <f>UtilitiesMonth*(1+INDEX(ScenarioMatrix,7,$B$3))^(AJ7-1)</f>
        <v/>
      </c>
      <c r="AK20" s="60">
        <f>UtilitiesMonth*(1+INDEX(ScenarioMatrix,7,$B$3))^(AK7-1)</f>
        <v/>
      </c>
      <c r="AL20" s="60">
        <f>UtilitiesMonth*(1+INDEX(ScenarioMatrix,7,$B$3))^(AL7-1)</f>
        <v/>
      </c>
      <c r="AM20" s="60">
        <f>SUM(C20:N20)</f>
        <v/>
      </c>
      <c r="AN20" s="60">
        <f>SUM(O20:Z20)</f>
        <v/>
      </c>
      <c r="AO20" s="60">
        <f>SUM(AA20:AL20)</f>
        <v/>
      </c>
      <c r="AP20" s="60">
        <f>SUM(AM20:AO20)</f>
        <v/>
      </c>
    </row>
    <row r="21">
      <c r="A21" s="6" t="inlineStr">
        <is>
          <t>Servicios fijos</t>
        </is>
      </c>
      <c r="B21" s="24" t="inlineStr">
        <is>
          <t>€</t>
        </is>
      </c>
      <c r="C21" s="60">
        <f>FixedServicesMonth*(1+INDEX(ScenarioMatrix,7,$B$3))^(C7-1)</f>
        <v/>
      </c>
      <c r="D21" s="60">
        <f>FixedServicesMonth*(1+INDEX(ScenarioMatrix,7,$B$3))^(D7-1)</f>
        <v/>
      </c>
      <c r="E21" s="60">
        <f>FixedServicesMonth*(1+INDEX(ScenarioMatrix,7,$B$3))^(E7-1)</f>
        <v/>
      </c>
      <c r="F21" s="60">
        <f>FixedServicesMonth*(1+INDEX(ScenarioMatrix,7,$B$3))^(F7-1)</f>
        <v/>
      </c>
      <c r="G21" s="60">
        <f>FixedServicesMonth*(1+INDEX(ScenarioMatrix,7,$B$3))^(G7-1)</f>
        <v/>
      </c>
      <c r="H21" s="60">
        <f>FixedServicesMonth*(1+INDEX(ScenarioMatrix,7,$B$3))^(H7-1)</f>
        <v/>
      </c>
      <c r="I21" s="60">
        <f>FixedServicesMonth*(1+INDEX(ScenarioMatrix,7,$B$3))^(I7-1)</f>
        <v/>
      </c>
      <c r="J21" s="60">
        <f>FixedServicesMonth*(1+INDEX(ScenarioMatrix,7,$B$3))^(J7-1)</f>
        <v/>
      </c>
      <c r="K21" s="60">
        <f>FixedServicesMonth*(1+INDEX(ScenarioMatrix,7,$B$3))^(K7-1)</f>
        <v/>
      </c>
      <c r="L21" s="60">
        <f>FixedServicesMonth*(1+INDEX(ScenarioMatrix,7,$B$3))^(L7-1)</f>
        <v/>
      </c>
      <c r="M21" s="60">
        <f>FixedServicesMonth*(1+INDEX(ScenarioMatrix,7,$B$3))^(M7-1)</f>
        <v/>
      </c>
      <c r="N21" s="60">
        <f>FixedServicesMonth*(1+INDEX(ScenarioMatrix,7,$B$3))^(N7-1)</f>
        <v/>
      </c>
      <c r="O21" s="60">
        <f>FixedServicesMonth*(1+INDEX(ScenarioMatrix,7,$B$3))^(O7-1)</f>
        <v/>
      </c>
      <c r="P21" s="60">
        <f>FixedServicesMonth*(1+INDEX(ScenarioMatrix,7,$B$3))^(P7-1)</f>
        <v/>
      </c>
      <c r="Q21" s="60">
        <f>FixedServicesMonth*(1+INDEX(ScenarioMatrix,7,$B$3))^(Q7-1)</f>
        <v/>
      </c>
      <c r="R21" s="60">
        <f>FixedServicesMonth*(1+INDEX(ScenarioMatrix,7,$B$3))^(R7-1)</f>
        <v/>
      </c>
      <c r="S21" s="60">
        <f>FixedServicesMonth*(1+INDEX(ScenarioMatrix,7,$B$3))^(S7-1)</f>
        <v/>
      </c>
      <c r="T21" s="60">
        <f>FixedServicesMonth*(1+INDEX(ScenarioMatrix,7,$B$3))^(T7-1)</f>
        <v/>
      </c>
      <c r="U21" s="60">
        <f>FixedServicesMonth*(1+INDEX(ScenarioMatrix,7,$B$3))^(U7-1)</f>
        <v/>
      </c>
      <c r="V21" s="60">
        <f>FixedServicesMonth*(1+INDEX(ScenarioMatrix,7,$B$3))^(V7-1)</f>
        <v/>
      </c>
      <c r="W21" s="60">
        <f>FixedServicesMonth*(1+INDEX(ScenarioMatrix,7,$B$3))^(W7-1)</f>
        <v/>
      </c>
      <c r="X21" s="60">
        <f>FixedServicesMonth*(1+INDEX(ScenarioMatrix,7,$B$3))^(X7-1)</f>
        <v/>
      </c>
      <c r="Y21" s="60">
        <f>FixedServicesMonth*(1+INDEX(ScenarioMatrix,7,$B$3))^(Y7-1)</f>
        <v/>
      </c>
      <c r="Z21" s="60">
        <f>FixedServicesMonth*(1+INDEX(ScenarioMatrix,7,$B$3))^(Z7-1)</f>
        <v/>
      </c>
      <c r="AA21" s="60">
        <f>FixedServicesMonth*(1+INDEX(ScenarioMatrix,7,$B$3))^(AA7-1)</f>
        <v/>
      </c>
      <c r="AB21" s="60">
        <f>FixedServicesMonth*(1+INDEX(ScenarioMatrix,7,$B$3))^(AB7-1)</f>
        <v/>
      </c>
      <c r="AC21" s="60">
        <f>FixedServicesMonth*(1+INDEX(ScenarioMatrix,7,$B$3))^(AC7-1)</f>
        <v/>
      </c>
      <c r="AD21" s="60">
        <f>FixedServicesMonth*(1+INDEX(ScenarioMatrix,7,$B$3))^(AD7-1)</f>
        <v/>
      </c>
      <c r="AE21" s="60">
        <f>FixedServicesMonth*(1+INDEX(ScenarioMatrix,7,$B$3))^(AE7-1)</f>
        <v/>
      </c>
      <c r="AF21" s="60">
        <f>FixedServicesMonth*(1+INDEX(ScenarioMatrix,7,$B$3))^(AF7-1)</f>
        <v/>
      </c>
      <c r="AG21" s="60">
        <f>FixedServicesMonth*(1+INDEX(ScenarioMatrix,7,$B$3))^(AG7-1)</f>
        <v/>
      </c>
      <c r="AH21" s="60">
        <f>FixedServicesMonth*(1+INDEX(ScenarioMatrix,7,$B$3))^(AH7-1)</f>
        <v/>
      </c>
      <c r="AI21" s="60">
        <f>FixedServicesMonth*(1+INDEX(ScenarioMatrix,7,$B$3))^(AI7-1)</f>
        <v/>
      </c>
      <c r="AJ21" s="60">
        <f>FixedServicesMonth*(1+INDEX(ScenarioMatrix,7,$B$3))^(AJ7-1)</f>
        <v/>
      </c>
      <c r="AK21" s="60">
        <f>FixedServicesMonth*(1+INDEX(ScenarioMatrix,7,$B$3))^(AK7-1)</f>
        <v/>
      </c>
      <c r="AL21" s="60">
        <f>FixedServicesMonth*(1+INDEX(ScenarioMatrix,7,$B$3))^(AL7-1)</f>
        <v/>
      </c>
      <c r="AM21" s="60">
        <f>SUM(C21:N21)</f>
        <v/>
      </c>
      <c r="AN21" s="60">
        <f>SUM(O21:Z21)</f>
        <v/>
      </c>
      <c r="AO21" s="60">
        <f>SUM(AA21:AL21)</f>
        <v/>
      </c>
      <c r="AP21" s="60">
        <f>SUM(AM21:AO21)</f>
        <v/>
      </c>
    </row>
    <row r="22">
      <c r="A22" s="6" t="inlineStr">
        <is>
          <t>Marketing fijo</t>
        </is>
      </c>
      <c r="B22" s="24" t="inlineStr">
        <is>
          <t>€</t>
        </is>
      </c>
      <c r="C22" s="60">
        <f>FixedMarketingMonth*(1+FixedMarketingGrowth)^(C7-1)</f>
        <v/>
      </c>
      <c r="D22" s="60">
        <f>FixedMarketingMonth*(1+FixedMarketingGrowth)^(D7-1)</f>
        <v/>
      </c>
      <c r="E22" s="60">
        <f>FixedMarketingMonth*(1+FixedMarketingGrowth)^(E7-1)</f>
        <v/>
      </c>
      <c r="F22" s="60">
        <f>FixedMarketingMonth*(1+FixedMarketingGrowth)^(F7-1)</f>
        <v/>
      </c>
      <c r="G22" s="60">
        <f>FixedMarketingMonth*(1+FixedMarketingGrowth)^(G7-1)</f>
        <v/>
      </c>
      <c r="H22" s="60">
        <f>FixedMarketingMonth*(1+FixedMarketingGrowth)^(H7-1)</f>
        <v/>
      </c>
      <c r="I22" s="60">
        <f>FixedMarketingMonth*(1+FixedMarketingGrowth)^(I7-1)</f>
        <v/>
      </c>
      <c r="J22" s="60">
        <f>FixedMarketingMonth*(1+FixedMarketingGrowth)^(J7-1)</f>
        <v/>
      </c>
      <c r="K22" s="60">
        <f>FixedMarketingMonth*(1+FixedMarketingGrowth)^(K7-1)</f>
        <v/>
      </c>
      <c r="L22" s="60">
        <f>FixedMarketingMonth*(1+FixedMarketingGrowth)^(L7-1)</f>
        <v/>
      </c>
      <c r="M22" s="60">
        <f>FixedMarketingMonth*(1+FixedMarketingGrowth)^(M7-1)</f>
        <v/>
      </c>
      <c r="N22" s="60">
        <f>FixedMarketingMonth*(1+FixedMarketingGrowth)^(N7-1)</f>
        <v/>
      </c>
      <c r="O22" s="60">
        <f>FixedMarketingMonth*(1+FixedMarketingGrowth)^(O7-1)</f>
        <v/>
      </c>
      <c r="P22" s="60">
        <f>FixedMarketingMonth*(1+FixedMarketingGrowth)^(P7-1)</f>
        <v/>
      </c>
      <c r="Q22" s="60">
        <f>FixedMarketingMonth*(1+FixedMarketingGrowth)^(Q7-1)</f>
        <v/>
      </c>
      <c r="R22" s="60">
        <f>FixedMarketingMonth*(1+FixedMarketingGrowth)^(R7-1)</f>
        <v/>
      </c>
      <c r="S22" s="60">
        <f>FixedMarketingMonth*(1+FixedMarketingGrowth)^(S7-1)</f>
        <v/>
      </c>
      <c r="T22" s="60">
        <f>FixedMarketingMonth*(1+FixedMarketingGrowth)^(T7-1)</f>
        <v/>
      </c>
      <c r="U22" s="60">
        <f>FixedMarketingMonth*(1+FixedMarketingGrowth)^(U7-1)</f>
        <v/>
      </c>
      <c r="V22" s="60">
        <f>FixedMarketingMonth*(1+FixedMarketingGrowth)^(V7-1)</f>
        <v/>
      </c>
      <c r="W22" s="60">
        <f>FixedMarketingMonth*(1+FixedMarketingGrowth)^(W7-1)</f>
        <v/>
      </c>
      <c r="X22" s="60">
        <f>FixedMarketingMonth*(1+FixedMarketingGrowth)^(X7-1)</f>
        <v/>
      </c>
      <c r="Y22" s="60">
        <f>FixedMarketingMonth*(1+FixedMarketingGrowth)^(Y7-1)</f>
        <v/>
      </c>
      <c r="Z22" s="60">
        <f>FixedMarketingMonth*(1+FixedMarketingGrowth)^(Z7-1)</f>
        <v/>
      </c>
      <c r="AA22" s="60">
        <f>FixedMarketingMonth*(1+FixedMarketingGrowth)^(AA7-1)</f>
        <v/>
      </c>
      <c r="AB22" s="60">
        <f>FixedMarketingMonth*(1+FixedMarketingGrowth)^(AB7-1)</f>
        <v/>
      </c>
      <c r="AC22" s="60">
        <f>FixedMarketingMonth*(1+FixedMarketingGrowth)^(AC7-1)</f>
        <v/>
      </c>
      <c r="AD22" s="60">
        <f>FixedMarketingMonth*(1+FixedMarketingGrowth)^(AD7-1)</f>
        <v/>
      </c>
      <c r="AE22" s="60">
        <f>FixedMarketingMonth*(1+FixedMarketingGrowth)^(AE7-1)</f>
        <v/>
      </c>
      <c r="AF22" s="60">
        <f>FixedMarketingMonth*(1+FixedMarketingGrowth)^(AF7-1)</f>
        <v/>
      </c>
      <c r="AG22" s="60">
        <f>FixedMarketingMonth*(1+FixedMarketingGrowth)^(AG7-1)</f>
        <v/>
      </c>
      <c r="AH22" s="60">
        <f>FixedMarketingMonth*(1+FixedMarketingGrowth)^(AH7-1)</f>
        <v/>
      </c>
      <c r="AI22" s="60">
        <f>FixedMarketingMonth*(1+FixedMarketingGrowth)^(AI7-1)</f>
        <v/>
      </c>
      <c r="AJ22" s="60">
        <f>FixedMarketingMonth*(1+FixedMarketingGrowth)^(AJ7-1)</f>
        <v/>
      </c>
      <c r="AK22" s="60">
        <f>FixedMarketingMonth*(1+FixedMarketingGrowth)^(AK7-1)</f>
        <v/>
      </c>
      <c r="AL22" s="60">
        <f>FixedMarketingMonth*(1+FixedMarketingGrowth)^(AL7-1)</f>
        <v/>
      </c>
      <c r="AM22" s="60">
        <f>SUM(C22:N22)</f>
        <v/>
      </c>
      <c r="AN22" s="60">
        <f>SUM(O22:Z22)</f>
        <v/>
      </c>
      <c r="AO22" s="60">
        <f>SUM(AA22:AL22)</f>
        <v/>
      </c>
      <c r="AP22" s="60">
        <f>SUM(AM22:AO22)</f>
        <v/>
      </c>
    </row>
    <row r="23">
      <c r="A23" s="6" t="inlineStr">
        <is>
          <t>Marketing variable</t>
        </is>
      </c>
      <c r="B23" s="24" t="inlineStr">
        <is>
          <t>€</t>
        </is>
      </c>
      <c r="C23" s="60">
        <f>INDEX(ScenarioMatrix,8,$B$3)*C15</f>
        <v/>
      </c>
      <c r="D23" s="60">
        <f>INDEX(ScenarioMatrix,8,$B$3)*D15</f>
        <v/>
      </c>
      <c r="E23" s="60">
        <f>INDEX(ScenarioMatrix,8,$B$3)*E15</f>
        <v/>
      </c>
      <c r="F23" s="60">
        <f>INDEX(ScenarioMatrix,8,$B$3)*F15</f>
        <v/>
      </c>
      <c r="G23" s="60">
        <f>INDEX(ScenarioMatrix,8,$B$3)*G15</f>
        <v/>
      </c>
      <c r="H23" s="60">
        <f>INDEX(ScenarioMatrix,8,$B$3)*H15</f>
        <v/>
      </c>
      <c r="I23" s="60">
        <f>INDEX(ScenarioMatrix,8,$B$3)*I15</f>
        <v/>
      </c>
      <c r="J23" s="60">
        <f>INDEX(ScenarioMatrix,8,$B$3)*J15</f>
        <v/>
      </c>
      <c r="K23" s="60">
        <f>INDEX(ScenarioMatrix,8,$B$3)*K15</f>
        <v/>
      </c>
      <c r="L23" s="60">
        <f>INDEX(ScenarioMatrix,8,$B$3)*L15</f>
        <v/>
      </c>
      <c r="M23" s="60">
        <f>INDEX(ScenarioMatrix,8,$B$3)*M15</f>
        <v/>
      </c>
      <c r="N23" s="60">
        <f>INDEX(ScenarioMatrix,8,$B$3)*N15</f>
        <v/>
      </c>
      <c r="O23" s="60">
        <f>INDEX(ScenarioMatrix,8,$B$3)*O15</f>
        <v/>
      </c>
      <c r="P23" s="60">
        <f>INDEX(ScenarioMatrix,8,$B$3)*P15</f>
        <v/>
      </c>
      <c r="Q23" s="60">
        <f>INDEX(ScenarioMatrix,8,$B$3)*Q15</f>
        <v/>
      </c>
      <c r="R23" s="60">
        <f>INDEX(ScenarioMatrix,8,$B$3)*R15</f>
        <v/>
      </c>
      <c r="S23" s="60">
        <f>INDEX(ScenarioMatrix,8,$B$3)*S15</f>
        <v/>
      </c>
      <c r="T23" s="60">
        <f>INDEX(ScenarioMatrix,8,$B$3)*T15</f>
        <v/>
      </c>
      <c r="U23" s="60">
        <f>INDEX(ScenarioMatrix,8,$B$3)*U15</f>
        <v/>
      </c>
      <c r="V23" s="60">
        <f>INDEX(ScenarioMatrix,8,$B$3)*V15</f>
        <v/>
      </c>
      <c r="W23" s="60">
        <f>INDEX(ScenarioMatrix,8,$B$3)*W15</f>
        <v/>
      </c>
      <c r="X23" s="60">
        <f>INDEX(ScenarioMatrix,8,$B$3)*X15</f>
        <v/>
      </c>
      <c r="Y23" s="60">
        <f>INDEX(ScenarioMatrix,8,$B$3)*Y15</f>
        <v/>
      </c>
      <c r="Z23" s="60">
        <f>INDEX(ScenarioMatrix,8,$B$3)*Z15</f>
        <v/>
      </c>
      <c r="AA23" s="60">
        <f>INDEX(ScenarioMatrix,8,$B$3)*AA15</f>
        <v/>
      </c>
      <c r="AB23" s="60">
        <f>INDEX(ScenarioMatrix,8,$B$3)*AB15</f>
        <v/>
      </c>
      <c r="AC23" s="60">
        <f>INDEX(ScenarioMatrix,8,$B$3)*AC15</f>
        <v/>
      </c>
      <c r="AD23" s="60">
        <f>INDEX(ScenarioMatrix,8,$B$3)*AD15</f>
        <v/>
      </c>
      <c r="AE23" s="60">
        <f>INDEX(ScenarioMatrix,8,$B$3)*AE15</f>
        <v/>
      </c>
      <c r="AF23" s="60">
        <f>INDEX(ScenarioMatrix,8,$B$3)*AF15</f>
        <v/>
      </c>
      <c r="AG23" s="60">
        <f>INDEX(ScenarioMatrix,8,$B$3)*AG15</f>
        <v/>
      </c>
      <c r="AH23" s="60">
        <f>INDEX(ScenarioMatrix,8,$B$3)*AH15</f>
        <v/>
      </c>
      <c r="AI23" s="60">
        <f>INDEX(ScenarioMatrix,8,$B$3)*AI15</f>
        <v/>
      </c>
      <c r="AJ23" s="60">
        <f>INDEX(ScenarioMatrix,8,$B$3)*AJ15</f>
        <v/>
      </c>
      <c r="AK23" s="60">
        <f>INDEX(ScenarioMatrix,8,$B$3)*AK15</f>
        <v/>
      </c>
      <c r="AL23" s="60">
        <f>INDEX(ScenarioMatrix,8,$B$3)*AL15</f>
        <v/>
      </c>
      <c r="AM23" s="60">
        <f>SUM(C23:N23)</f>
        <v/>
      </c>
      <c r="AN23" s="60">
        <f>SUM(O23:Z23)</f>
        <v/>
      </c>
      <c r="AO23" s="60">
        <f>SUM(AA23:AL23)</f>
        <v/>
      </c>
      <c r="AP23" s="60">
        <f>SUM(AM23:AO23)</f>
        <v/>
      </c>
    </row>
    <row r="24">
      <c r="A24" s="6" t="inlineStr">
        <is>
          <t>Otros gastos</t>
        </is>
      </c>
      <c r="B24" s="24" t="inlineStr">
        <is>
          <t>€</t>
        </is>
      </c>
      <c r="C24" s="60">
        <f>OtherOpexMonth*INDEX(ScenarioMatrix,9,$B$3)*(1+INDEX(ScenarioMatrix,10,$B$3))^(C7-1)</f>
        <v/>
      </c>
      <c r="D24" s="60">
        <f>OtherOpexMonth*INDEX(ScenarioMatrix,9,$B$3)*(1+INDEX(ScenarioMatrix,10,$B$3))^(D7-1)</f>
        <v/>
      </c>
      <c r="E24" s="60">
        <f>OtherOpexMonth*INDEX(ScenarioMatrix,9,$B$3)*(1+INDEX(ScenarioMatrix,10,$B$3))^(E7-1)</f>
        <v/>
      </c>
      <c r="F24" s="60">
        <f>OtherOpexMonth*INDEX(ScenarioMatrix,9,$B$3)*(1+INDEX(ScenarioMatrix,10,$B$3))^(F7-1)</f>
        <v/>
      </c>
      <c r="G24" s="60">
        <f>OtherOpexMonth*INDEX(ScenarioMatrix,9,$B$3)*(1+INDEX(ScenarioMatrix,10,$B$3))^(G7-1)</f>
        <v/>
      </c>
      <c r="H24" s="60">
        <f>OtherOpexMonth*INDEX(ScenarioMatrix,9,$B$3)*(1+INDEX(ScenarioMatrix,10,$B$3))^(H7-1)</f>
        <v/>
      </c>
      <c r="I24" s="60">
        <f>OtherOpexMonth*INDEX(ScenarioMatrix,9,$B$3)*(1+INDEX(ScenarioMatrix,10,$B$3))^(I7-1)</f>
        <v/>
      </c>
      <c r="J24" s="60">
        <f>OtherOpexMonth*INDEX(ScenarioMatrix,9,$B$3)*(1+INDEX(ScenarioMatrix,10,$B$3))^(J7-1)</f>
        <v/>
      </c>
      <c r="K24" s="60">
        <f>OtherOpexMonth*INDEX(ScenarioMatrix,9,$B$3)*(1+INDEX(ScenarioMatrix,10,$B$3))^(K7-1)</f>
        <v/>
      </c>
      <c r="L24" s="60">
        <f>OtherOpexMonth*INDEX(ScenarioMatrix,9,$B$3)*(1+INDEX(ScenarioMatrix,10,$B$3))^(L7-1)</f>
        <v/>
      </c>
      <c r="M24" s="60">
        <f>OtherOpexMonth*INDEX(ScenarioMatrix,9,$B$3)*(1+INDEX(ScenarioMatrix,10,$B$3))^(M7-1)</f>
        <v/>
      </c>
      <c r="N24" s="60">
        <f>OtherOpexMonth*INDEX(ScenarioMatrix,9,$B$3)*(1+INDEX(ScenarioMatrix,10,$B$3))^(N7-1)</f>
        <v/>
      </c>
      <c r="O24" s="60">
        <f>OtherOpexMonth*INDEX(ScenarioMatrix,9,$B$3)*(1+INDEX(ScenarioMatrix,10,$B$3))^(O7-1)</f>
        <v/>
      </c>
      <c r="P24" s="60">
        <f>OtherOpexMonth*INDEX(ScenarioMatrix,9,$B$3)*(1+INDEX(ScenarioMatrix,10,$B$3))^(P7-1)</f>
        <v/>
      </c>
      <c r="Q24" s="60">
        <f>OtherOpexMonth*INDEX(ScenarioMatrix,9,$B$3)*(1+INDEX(ScenarioMatrix,10,$B$3))^(Q7-1)</f>
        <v/>
      </c>
      <c r="R24" s="60">
        <f>OtherOpexMonth*INDEX(ScenarioMatrix,9,$B$3)*(1+INDEX(ScenarioMatrix,10,$B$3))^(R7-1)</f>
        <v/>
      </c>
      <c r="S24" s="60">
        <f>OtherOpexMonth*INDEX(ScenarioMatrix,9,$B$3)*(1+INDEX(ScenarioMatrix,10,$B$3))^(S7-1)</f>
        <v/>
      </c>
      <c r="T24" s="60">
        <f>OtherOpexMonth*INDEX(ScenarioMatrix,9,$B$3)*(1+INDEX(ScenarioMatrix,10,$B$3))^(T7-1)</f>
        <v/>
      </c>
      <c r="U24" s="60">
        <f>OtherOpexMonth*INDEX(ScenarioMatrix,9,$B$3)*(1+INDEX(ScenarioMatrix,10,$B$3))^(U7-1)</f>
        <v/>
      </c>
      <c r="V24" s="60">
        <f>OtherOpexMonth*INDEX(ScenarioMatrix,9,$B$3)*(1+INDEX(ScenarioMatrix,10,$B$3))^(V7-1)</f>
        <v/>
      </c>
      <c r="W24" s="60">
        <f>OtherOpexMonth*INDEX(ScenarioMatrix,9,$B$3)*(1+INDEX(ScenarioMatrix,10,$B$3))^(W7-1)</f>
        <v/>
      </c>
      <c r="X24" s="60">
        <f>OtherOpexMonth*INDEX(ScenarioMatrix,9,$B$3)*(1+INDEX(ScenarioMatrix,10,$B$3))^(X7-1)</f>
        <v/>
      </c>
      <c r="Y24" s="60">
        <f>OtherOpexMonth*INDEX(ScenarioMatrix,9,$B$3)*(1+INDEX(ScenarioMatrix,10,$B$3))^(Y7-1)</f>
        <v/>
      </c>
      <c r="Z24" s="60">
        <f>OtherOpexMonth*INDEX(ScenarioMatrix,9,$B$3)*(1+INDEX(ScenarioMatrix,10,$B$3))^(Z7-1)</f>
        <v/>
      </c>
      <c r="AA24" s="60">
        <f>OtherOpexMonth*INDEX(ScenarioMatrix,9,$B$3)*(1+INDEX(ScenarioMatrix,10,$B$3))^(AA7-1)</f>
        <v/>
      </c>
      <c r="AB24" s="60">
        <f>OtherOpexMonth*INDEX(ScenarioMatrix,9,$B$3)*(1+INDEX(ScenarioMatrix,10,$B$3))^(AB7-1)</f>
        <v/>
      </c>
      <c r="AC24" s="60">
        <f>OtherOpexMonth*INDEX(ScenarioMatrix,9,$B$3)*(1+INDEX(ScenarioMatrix,10,$B$3))^(AC7-1)</f>
        <v/>
      </c>
      <c r="AD24" s="60">
        <f>OtherOpexMonth*INDEX(ScenarioMatrix,9,$B$3)*(1+INDEX(ScenarioMatrix,10,$B$3))^(AD7-1)</f>
        <v/>
      </c>
      <c r="AE24" s="60">
        <f>OtherOpexMonth*INDEX(ScenarioMatrix,9,$B$3)*(1+INDEX(ScenarioMatrix,10,$B$3))^(AE7-1)</f>
        <v/>
      </c>
      <c r="AF24" s="60">
        <f>OtherOpexMonth*INDEX(ScenarioMatrix,9,$B$3)*(1+INDEX(ScenarioMatrix,10,$B$3))^(AF7-1)</f>
        <v/>
      </c>
      <c r="AG24" s="60">
        <f>OtherOpexMonth*INDEX(ScenarioMatrix,9,$B$3)*(1+INDEX(ScenarioMatrix,10,$B$3))^(AG7-1)</f>
        <v/>
      </c>
      <c r="AH24" s="60">
        <f>OtherOpexMonth*INDEX(ScenarioMatrix,9,$B$3)*(1+INDEX(ScenarioMatrix,10,$B$3))^(AH7-1)</f>
        <v/>
      </c>
      <c r="AI24" s="60">
        <f>OtherOpexMonth*INDEX(ScenarioMatrix,9,$B$3)*(1+INDEX(ScenarioMatrix,10,$B$3))^(AI7-1)</f>
        <v/>
      </c>
      <c r="AJ24" s="60">
        <f>OtherOpexMonth*INDEX(ScenarioMatrix,9,$B$3)*(1+INDEX(ScenarioMatrix,10,$B$3))^(AJ7-1)</f>
        <v/>
      </c>
      <c r="AK24" s="60">
        <f>OtherOpexMonth*INDEX(ScenarioMatrix,9,$B$3)*(1+INDEX(ScenarioMatrix,10,$B$3))^(AK7-1)</f>
        <v/>
      </c>
      <c r="AL24" s="60">
        <f>OtherOpexMonth*INDEX(ScenarioMatrix,9,$B$3)*(1+INDEX(ScenarioMatrix,10,$B$3))^(AL7-1)</f>
        <v/>
      </c>
      <c r="AM24" s="60">
        <f>SUM(C24:N24)</f>
        <v/>
      </c>
      <c r="AN24" s="60">
        <f>SUM(O24:Z24)</f>
        <v/>
      </c>
      <c r="AO24" s="60">
        <f>SUM(AA24:AL24)</f>
        <v/>
      </c>
      <c r="AP24" s="60">
        <f>SUM(AM24:AO24)</f>
        <v/>
      </c>
    </row>
    <row r="25">
      <c r="A25" s="6" t="inlineStr">
        <is>
          <t>Total opex + personal</t>
        </is>
      </c>
      <c r="B25" s="24" t="inlineStr">
        <is>
          <t>€</t>
        </is>
      </c>
      <c r="C25" s="59">
        <f>SUM(C18:C24)</f>
        <v/>
      </c>
      <c r="D25" s="59">
        <f>SUM(D18:D24)</f>
        <v/>
      </c>
      <c r="E25" s="59">
        <f>SUM(E18:E24)</f>
        <v/>
      </c>
      <c r="F25" s="59">
        <f>SUM(F18:F24)</f>
        <v/>
      </c>
      <c r="G25" s="59">
        <f>SUM(G18:G24)</f>
        <v/>
      </c>
      <c r="H25" s="59">
        <f>SUM(H18:H24)</f>
        <v/>
      </c>
      <c r="I25" s="59">
        <f>SUM(I18:I24)</f>
        <v/>
      </c>
      <c r="J25" s="59">
        <f>SUM(J18:J24)</f>
        <v/>
      </c>
      <c r="K25" s="59">
        <f>SUM(K18:K24)</f>
        <v/>
      </c>
      <c r="L25" s="59">
        <f>SUM(L18:L24)</f>
        <v/>
      </c>
      <c r="M25" s="59">
        <f>SUM(M18:M24)</f>
        <v/>
      </c>
      <c r="N25" s="59">
        <f>SUM(N18:N24)</f>
        <v/>
      </c>
      <c r="O25" s="59">
        <f>SUM(O18:O24)</f>
        <v/>
      </c>
      <c r="P25" s="59">
        <f>SUM(P18:P24)</f>
        <v/>
      </c>
      <c r="Q25" s="59">
        <f>SUM(Q18:Q24)</f>
        <v/>
      </c>
      <c r="R25" s="59">
        <f>SUM(R18:R24)</f>
        <v/>
      </c>
      <c r="S25" s="59">
        <f>SUM(S18:S24)</f>
        <v/>
      </c>
      <c r="T25" s="59">
        <f>SUM(T18:T24)</f>
        <v/>
      </c>
      <c r="U25" s="59">
        <f>SUM(U18:U24)</f>
        <v/>
      </c>
      <c r="V25" s="59">
        <f>SUM(V18:V24)</f>
        <v/>
      </c>
      <c r="W25" s="59">
        <f>SUM(W18:W24)</f>
        <v/>
      </c>
      <c r="X25" s="59">
        <f>SUM(X18:X24)</f>
        <v/>
      </c>
      <c r="Y25" s="59">
        <f>SUM(Y18:Y24)</f>
        <v/>
      </c>
      <c r="Z25" s="59">
        <f>SUM(Z18:Z24)</f>
        <v/>
      </c>
      <c r="AA25" s="59">
        <f>SUM(AA18:AA24)</f>
        <v/>
      </c>
      <c r="AB25" s="59">
        <f>SUM(AB18:AB24)</f>
        <v/>
      </c>
      <c r="AC25" s="59">
        <f>SUM(AC18:AC24)</f>
        <v/>
      </c>
      <c r="AD25" s="59">
        <f>SUM(AD18:AD24)</f>
        <v/>
      </c>
      <c r="AE25" s="59">
        <f>SUM(AE18:AE24)</f>
        <v/>
      </c>
      <c r="AF25" s="59">
        <f>SUM(AF18:AF24)</f>
        <v/>
      </c>
      <c r="AG25" s="59">
        <f>SUM(AG18:AG24)</f>
        <v/>
      </c>
      <c r="AH25" s="59">
        <f>SUM(AH18:AH24)</f>
        <v/>
      </c>
      <c r="AI25" s="59">
        <f>SUM(AI18:AI24)</f>
        <v/>
      </c>
      <c r="AJ25" s="59">
        <f>SUM(AJ18:AJ24)</f>
        <v/>
      </c>
      <c r="AK25" s="59">
        <f>SUM(AK18:AK24)</f>
        <v/>
      </c>
      <c r="AL25" s="59">
        <f>SUM(AL18:AL24)</f>
        <v/>
      </c>
      <c r="AM25" s="59">
        <f>SUM(C25:N25)</f>
        <v/>
      </c>
      <c r="AN25" s="59">
        <f>SUM(O25:Z25)</f>
        <v/>
      </c>
      <c r="AO25" s="59">
        <f>SUM(AA25:AL25)</f>
        <v/>
      </c>
      <c r="AP25" s="59">
        <f>SUM(AM25:AO25)</f>
        <v/>
      </c>
    </row>
    <row r="26">
      <c r="A26" s="6" t="inlineStr">
        <is>
          <t>EBITDA</t>
        </is>
      </c>
      <c r="B26" s="24" t="inlineStr">
        <is>
          <t>€</t>
        </is>
      </c>
      <c r="C26" s="59">
        <f>C17-C25</f>
        <v/>
      </c>
      <c r="D26" s="59">
        <f>D17-D25</f>
        <v/>
      </c>
      <c r="E26" s="59">
        <f>E17-E25</f>
        <v/>
      </c>
      <c r="F26" s="59">
        <f>F17-F25</f>
        <v/>
      </c>
      <c r="G26" s="59">
        <f>G17-G25</f>
        <v/>
      </c>
      <c r="H26" s="59">
        <f>H17-H25</f>
        <v/>
      </c>
      <c r="I26" s="59">
        <f>I17-I25</f>
        <v/>
      </c>
      <c r="J26" s="59">
        <f>J17-J25</f>
        <v/>
      </c>
      <c r="K26" s="59">
        <f>K17-K25</f>
        <v/>
      </c>
      <c r="L26" s="59">
        <f>L17-L25</f>
        <v/>
      </c>
      <c r="M26" s="59">
        <f>M17-M25</f>
        <v/>
      </c>
      <c r="N26" s="59">
        <f>N17-N25</f>
        <v/>
      </c>
      <c r="O26" s="59">
        <f>O17-O25</f>
        <v/>
      </c>
      <c r="P26" s="59">
        <f>P17-P25</f>
        <v/>
      </c>
      <c r="Q26" s="59">
        <f>Q17-Q25</f>
        <v/>
      </c>
      <c r="R26" s="59">
        <f>R17-R25</f>
        <v/>
      </c>
      <c r="S26" s="59">
        <f>S17-S25</f>
        <v/>
      </c>
      <c r="T26" s="59">
        <f>T17-T25</f>
        <v/>
      </c>
      <c r="U26" s="59">
        <f>U17-U25</f>
        <v/>
      </c>
      <c r="V26" s="59">
        <f>V17-V25</f>
        <v/>
      </c>
      <c r="W26" s="59">
        <f>W17-W25</f>
        <v/>
      </c>
      <c r="X26" s="59">
        <f>X17-X25</f>
        <v/>
      </c>
      <c r="Y26" s="59">
        <f>Y17-Y25</f>
        <v/>
      </c>
      <c r="Z26" s="59">
        <f>Z17-Z25</f>
        <v/>
      </c>
      <c r="AA26" s="59">
        <f>AA17-AA25</f>
        <v/>
      </c>
      <c r="AB26" s="59">
        <f>AB17-AB25</f>
        <v/>
      </c>
      <c r="AC26" s="59">
        <f>AC17-AC25</f>
        <v/>
      </c>
      <c r="AD26" s="59">
        <f>AD17-AD25</f>
        <v/>
      </c>
      <c r="AE26" s="59">
        <f>AE17-AE25</f>
        <v/>
      </c>
      <c r="AF26" s="59">
        <f>AF17-AF25</f>
        <v/>
      </c>
      <c r="AG26" s="59">
        <f>AG17-AG25</f>
        <v/>
      </c>
      <c r="AH26" s="59">
        <f>AH17-AH25</f>
        <v/>
      </c>
      <c r="AI26" s="59">
        <f>AI17-AI25</f>
        <v/>
      </c>
      <c r="AJ26" s="59">
        <f>AJ17-AJ25</f>
        <v/>
      </c>
      <c r="AK26" s="59">
        <f>AK17-AK25</f>
        <v/>
      </c>
      <c r="AL26" s="59">
        <f>AL17-AL25</f>
        <v/>
      </c>
      <c r="AM26" s="59">
        <f>SUM(C26:N26)</f>
        <v/>
      </c>
      <c r="AN26" s="59">
        <f>SUM(O26:Z26)</f>
        <v/>
      </c>
      <c r="AO26" s="59">
        <f>SUM(AA26:AL26)</f>
        <v/>
      </c>
      <c r="AP26" s="59">
        <f>SUM(AM26:AO26)</f>
        <v/>
      </c>
    </row>
    <row r="27">
      <c r="A27" s="6" t="inlineStr">
        <is>
          <t>Amortización</t>
        </is>
      </c>
      <c r="B27" s="24" t="inlineStr">
        <is>
          <t>€</t>
        </is>
      </c>
      <c r="C27" s="60">
        <f>MonthlyDepreciation</f>
        <v/>
      </c>
      <c r="D27" s="60">
        <f>MonthlyDepreciation</f>
        <v/>
      </c>
      <c r="E27" s="60">
        <f>MonthlyDepreciation</f>
        <v/>
      </c>
      <c r="F27" s="60">
        <f>MonthlyDepreciation</f>
        <v/>
      </c>
      <c r="G27" s="60">
        <f>MonthlyDepreciation</f>
        <v/>
      </c>
      <c r="H27" s="60">
        <f>MonthlyDepreciation</f>
        <v/>
      </c>
      <c r="I27" s="60">
        <f>MonthlyDepreciation</f>
        <v/>
      </c>
      <c r="J27" s="60">
        <f>MonthlyDepreciation</f>
        <v/>
      </c>
      <c r="K27" s="60">
        <f>MonthlyDepreciation</f>
        <v/>
      </c>
      <c r="L27" s="60">
        <f>MonthlyDepreciation</f>
        <v/>
      </c>
      <c r="M27" s="60">
        <f>MonthlyDepreciation</f>
        <v/>
      </c>
      <c r="N27" s="60">
        <f>MonthlyDepreciation</f>
        <v/>
      </c>
      <c r="O27" s="60">
        <f>MonthlyDepreciation</f>
        <v/>
      </c>
      <c r="P27" s="60">
        <f>MonthlyDepreciation</f>
        <v/>
      </c>
      <c r="Q27" s="60">
        <f>MonthlyDepreciation</f>
        <v/>
      </c>
      <c r="R27" s="60">
        <f>MonthlyDepreciation</f>
        <v/>
      </c>
      <c r="S27" s="60">
        <f>MonthlyDepreciation</f>
        <v/>
      </c>
      <c r="T27" s="60">
        <f>MonthlyDepreciation</f>
        <v/>
      </c>
      <c r="U27" s="60">
        <f>MonthlyDepreciation</f>
        <v/>
      </c>
      <c r="V27" s="60">
        <f>MonthlyDepreciation</f>
        <v/>
      </c>
      <c r="W27" s="60">
        <f>MonthlyDepreciation</f>
        <v/>
      </c>
      <c r="X27" s="60">
        <f>MonthlyDepreciation</f>
        <v/>
      </c>
      <c r="Y27" s="60">
        <f>MonthlyDepreciation</f>
        <v/>
      </c>
      <c r="Z27" s="60">
        <f>MonthlyDepreciation</f>
        <v/>
      </c>
      <c r="AA27" s="60">
        <f>MonthlyDepreciation</f>
        <v/>
      </c>
      <c r="AB27" s="60">
        <f>MonthlyDepreciation</f>
        <v/>
      </c>
      <c r="AC27" s="60">
        <f>MonthlyDepreciation</f>
        <v/>
      </c>
      <c r="AD27" s="60">
        <f>MonthlyDepreciation</f>
        <v/>
      </c>
      <c r="AE27" s="60">
        <f>MonthlyDepreciation</f>
        <v/>
      </c>
      <c r="AF27" s="60">
        <f>MonthlyDepreciation</f>
        <v/>
      </c>
      <c r="AG27" s="60">
        <f>MonthlyDepreciation</f>
        <v/>
      </c>
      <c r="AH27" s="60">
        <f>MonthlyDepreciation</f>
        <v/>
      </c>
      <c r="AI27" s="60">
        <f>MonthlyDepreciation</f>
        <v/>
      </c>
      <c r="AJ27" s="60">
        <f>MonthlyDepreciation</f>
        <v/>
      </c>
      <c r="AK27" s="60">
        <f>MonthlyDepreciation</f>
        <v/>
      </c>
      <c r="AL27" s="60">
        <f>MonthlyDepreciation</f>
        <v/>
      </c>
      <c r="AM27" s="60">
        <f>SUM(C27:N27)</f>
        <v/>
      </c>
      <c r="AN27" s="60">
        <f>SUM(O27:Z27)</f>
        <v/>
      </c>
      <c r="AO27" s="60">
        <f>SUM(AA27:AL27)</f>
        <v/>
      </c>
      <c r="AP27" s="60">
        <f>SUM(AM27:AO27)</f>
        <v/>
      </c>
    </row>
    <row r="28">
      <c r="A28" s="6" t="inlineStr">
        <is>
          <t>EBIT</t>
        </is>
      </c>
      <c r="B28" s="24" t="inlineStr">
        <is>
          <t>€</t>
        </is>
      </c>
      <c r="C28" s="59">
        <f>C26-C27</f>
        <v/>
      </c>
      <c r="D28" s="59">
        <f>D26-D27</f>
        <v/>
      </c>
      <c r="E28" s="59">
        <f>E26-E27</f>
        <v/>
      </c>
      <c r="F28" s="59">
        <f>F26-F27</f>
        <v/>
      </c>
      <c r="G28" s="59">
        <f>G26-G27</f>
        <v/>
      </c>
      <c r="H28" s="59">
        <f>H26-H27</f>
        <v/>
      </c>
      <c r="I28" s="59">
        <f>I26-I27</f>
        <v/>
      </c>
      <c r="J28" s="59">
        <f>J26-J27</f>
        <v/>
      </c>
      <c r="K28" s="59">
        <f>K26-K27</f>
        <v/>
      </c>
      <c r="L28" s="59">
        <f>L26-L27</f>
        <v/>
      </c>
      <c r="M28" s="59">
        <f>M26-M27</f>
        <v/>
      </c>
      <c r="N28" s="59">
        <f>N26-N27</f>
        <v/>
      </c>
      <c r="O28" s="59">
        <f>O26-O27</f>
        <v/>
      </c>
      <c r="P28" s="59">
        <f>P26-P27</f>
        <v/>
      </c>
      <c r="Q28" s="59">
        <f>Q26-Q27</f>
        <v/>
      </c>
      <c r="R28" s="59">
        <f>R26-R27</f>
        <v/>
      </c>
      <c r="S28" s="59">
        <f>S26-S27</f>
        <v/>
      </c>
      <c r="T28" s="59">
        <f>T26-T27</f>
        <v/>
      </c>
      <c r="U28" s="59">
        <f>U26-U27</f>
        <v/>
      </c>
      <c r="V28" s="59">
        <f>V26-V27</f>
        <v/>
      </c>
      <c r="W28" s="59">
        <f>W26-W27</f>
        <v/>
      </c>
      <c r="X28" s="59">
        <f>X26-X27</f>
        <v/>
      </c>
      <c r="Y28" s="59">
        <f>Y26-Y27</f>
        <v/>
      </c>
      <c r="Z28" s="59">
        <f>Z26-Z27</f>
        <v/>
      </c>
      <c r="AA28" s="59">
        <f>AA26-AA27</f>
        <v/>
      </c>
      <c r="AB28" s="59">
        <f>AB26-AB27</f>
        <v/>
      </c>
      <c r="AC28" s="59">
        <f>AC26-AC27</f>
        <v/>
      </c>
      <c r="AD28" s="59">
        <f>AD26-AD27</f>
        <v/>
      </c>
      <c r="AE28" s="59">
        <f>AE26-AE27</f>
        <v/>
      </c>
      <c r="AF28" s="59">
        <f>AF26-AF27</f>
        <v/>
      </c>
      <c r="AG28" s="59">
        <f>AG26-AG27</f>
        <v/>
      </c>
      <c r="AH28" s="59">
        <f>AH26-AH27</f>
        <v/>
      </c>
      <c r="AI28" s="59">
        <f>AI26-AI27</f>
        <v/>
      </c>
      <c r="AJ28" s="59">
        <f>AJ26-AJ27</f>
        <v/>
      </c>
      <c r="AK28" s="59">
        <f>AK26-AK27</f>
        <v/>
      </c>
      <c r="AL28" s="59">
        <f>AL26-AL27</f>
        <v/>
      </c>
      <c r="AM28" s="59">
        <f>SUM(C28:N28)</f>
        <v/>
      </c>
      <c r="AN28" s="59">
        <f>SUM(O28:Z28)</f>
        <v/>
      </c>
      <c r="AO28" s="59">
        <f>SUM(AA28:AL28)</f>
        <v/>
      </c>
      <c r="AP28" s="59">
        <f>SUM(AM28:AO28)</f>
        <v/>
      </c>
    </row>
    <row r="29">
      <c r="A29" s="6" t="inlineStr">
        <is>
          <t>Intereses</t>
        </is>
      </c>
      <c r="B29" s="24" t="inlineStr">
        <is>
          <t>€</t>
        </is>
      </c>
      <c r="C29" s="60">
        <f>C53</f>
        <v/>
      </c>
      <c r="D29" s="60">
        <f>D53</f>
        <v/>
      </c>
      <c r="E29" s="60">
        <f>E53</f>
        <v/>
      </c>
      <c r="F29" s="60">
        <f>F53</f>
        <v/>
      </c>
      <c r="G29" s="60">
        <f>G53</f>
        <v/>
      </c>
      <c r="H29" s="60">
        <f>H53</f>
        <v/>
      </c>
      <c r="I29" s="60">
        <f>I53</f>
        <v/>
      </c>
      <c r="J29" s="60">
        <f>J53</f>
        <v/>
      </c>
      <c r="K29" s="60">
        <f>K53</f>
        <v/>
      </c>
      <c r="L29" s="60">
        <f>L53</f>
        <v/>
      </c>
      <c r="M29" s="60">
        <f>M53</f>
        <v/>
      </c>
      <c r="N29" s="60">
        <f>N53</f>
        <v/>
      </c>
      <c r="O29" s="60">
        <f>O53</f>
        <v/>
      </c>
      <c r="P29" s="60">
        <f>P53</f>
        <v/>
      </c>
      <c r="Q29" s="60">
        <f>Q53</f>
        <v/>
      </c>
      <c r="R29" s="60">
        <f>R53</f>
        <v/>
      </c>
      <c r="S29" s="60">
        <f>S53</f>
        <v/>
      </c>
      <c r="T29" s="60">
        <f>T53</f>
        <v/>
      </c>
      <c r="U29" s="60">
        <f>U53</f>
        <v/>
      </c>
      <c r="V29" s="60">
        <f>V53</f>
        <v/>
      </c>
      <c r="W29" s="60">
        <f>W53</f>
        <v/>
      </c>
      <c r="X29" s="60">
        <f>X53</f>
        <v/>
      </c>
      <c r="Y29" s="60">
        <f>Y53</f>
        <v/>
      </c>
      <c r="Z29" s="60">
        <f>Z53</f>
        <v/>
      </c>
      <c r="AA29" s="60">
        <f>AA53</f>
        <v/>
      </c>
      <c r="AB29" s="60">
        <f>AB53</f>
        <v/>
      </c>
      <c r="AC29" s="60">
        <f>AC53</f>
        <v/>
      </c>
      <c r="AD29" s="60">
        <f>AD53</f>
        <v/>
      </c>
      <c r="AE29" s="60">
        <f>AE53</f>
        <v/>
      </c>
      <c r="AF29" s="60">
        <f>AF53</f>
        <v/>
      </c>
      <c r="AG29" s="60">
        <f>AG53</f>
        <v/>
      </c>
      <c r="AH29" s="60">
        <f>AH53</f>
        <v/>
      </c>
      <c r="AI29" s="60">
        <f>AI53</f>
        <v/>
      </c>
      <c r="AJ29" s="60">
        <f>AJ53</f>
        <v/>
      </c>
      <c r="AK29" s="60">
        <f>AK53</f>
        <v/>
      </c>
      <c r="AL29" s="60">
        <f>AL53</f>
        <v/>
      </c>
      <c r="AM29" s="60">
        <f>SUM(C29:N29)</f>
        <v/>
      </c>
      <c r="AN29" s="60">
        <f>SUM(O29:Z29)</f>
        <v/>
      </c>
      <c r="AO29" s="60">
        <f>SUM(AA29:AL29)</f>
        <v/>
      </c>
      <c r="AP29" s="60">
        <f>SUM(AM29:AO29)</f>
        <v/>
      </c>
    </row>
    <row r="30">
      <c r="A30" s="6" t="inlineStr">
        <is>
          <t>EBT</t>
        </is>
      </c>
      <c r="B30" s="24" t="inlineStr">
        <is>
          <t>€</t>
        </is>
      </c>
      <c r="C30" s="59">
        <f>C28-C29</f>
        <v/>
      </c>
      <c r="D30" s="59">
        <f>D28-D29</f>
        <v/>
      </c>
      <c r="E30" s="59">
        <f>E28-E29</f>
        <v/>
      </c>
      <c r="F30" s="59">
        <f>F28-F29</f>
        <v/>
      </c>
      <c r="G30" s="59">
        <f>G28-G29</f>
        <v/>
      </c>
      <c r="H30" s="59">
        <f>H28-H29</f>
        <v/>
      </c>
      <c r="I30" s="59">
        <f>I28-I29</f>
        <v/>
      </c>
      <c r="J30" s="59">
        <f>J28-J29</f>
        <v/>
      </c>
      <c r="K30" s="59">
        <f>K28-K29</f>
        <v/>
      </c>
      <c r="L30" s="59">
        <f>L28-L29</f>
        <v/>
      </c>
      <c r="M30" s="59">
        <f>M28-M29</f>
        <v/>
      </c>
      <c r="N30" s="59">
        <f>N28-N29</f>
        <v/>
      </c>
      <c r="O30" s="59">
        <f>O28-O29</f>
        <v/>
      </c>
      <c r="P30" s="59">
        <f>P28-P29</f>
        <v/>
      </c>
      <c r="Q30" s="59">
        <f>Q28-Q29</f>
        <v/>
      </c>
      <c r="R30" s="59">
        <f>R28-R29</f>
        <v/>
      </c>
      <c r="S30" s="59">
        <f>S28-S29</f>
        <v/>
      </c>
      <c r="T30" s="59">
        <f>T28-T29</f>
        <v/>
      </c>
      <c r="U30" s="59">
        <f>U28-U29</f>
        <v/>
      </c>
      <c r="V30" s="59">
        <f>V28-V29</f>
        <v/>
      </c>
      <c r="W30" s="59">
        <f>W28-W29</f>
        <v/>
      </c>
      <c r="X30" s="59">
        <f>X28-X29</f>
        <v/>
      </c>
      <c r="Y30" s="59">
        <f>Y28-Y29</f>
        <v/>
      </c>
      <c r="Z30" s="59">
        <f>Z28-Z29</f>
        <v/>
      </c>
      <c r="AA30" s="59">
        <f>AA28-AA29</f>
        <v/>
      </c>
      <c r="AB30" s="59">
        <f>AB28-AB29</f>
        <v/>
      </c>
      <c r="AC30" s="59">
        <f>AC28-AC29</f>
        <v/>
      </c>
      <c r="AD30" s="59">
        <f>AD28-AD29</f>
        <v/>
      </c>
      <c r="AE30" s="59">
        <f>AE28-AE29</f>
        <v/>
      </c>
      <c r="AF30" s="59">
        <f>AF28-AF29</f>
        <v/>
      </c>
      <c r="AG30" s="59">
        <f>AG28-AG29</f>
        <v/>
      </c>
      <c r="AH30" s="59">
        <f>AH28-AH29</f>
        <v/>
      </c>
      <c r="AI30" s="59">
        <f>AI28-AI29</f>
        <v/>
      </c>
      <c r="AJ30" s="59">
        <f>AJ28-AJ29</f>
        <v/>
      </c>
      <c r="AK30" s="59">
        <f>AK28-AK29</f>
        <v/>
      </c>
      <c r="AL30" s="59">
        <f>AL28-AL29</f>
        <v/>
      </c>
      <c r="AM30" s="59">
        <f>SUM(C30:N30)</f>
        <v/>
      </c>
      <c r="AN30" s="59">
        <f>SUM(O30:Z30)</f>
        <v/>
      </c>
      <c r="AO30" s="59">
        <f>SUM(AA30:AL30)</f>
        <v/>
      </c>
      <c r="AP30" s="59">
        <f>SUM(AM30:AO30)</f>
        <v/>
      </c>
    </row>
    <row r="31">
      <c r="A31" s="6" t="inlineStr">
        <is>
          <t>Impuestos</t>
        </is>
      </c>
      <c r="B31" s="24" t="inlineStr">
        <is>
          <t>€</t>
        </is>
      </c>
      <c r="C31" s="60">
        <f>IF(C7=1,$B$63/12,IF(C7=2,$C$63/12,$D$63/12))</f>
        <v/>
      </c>
      <c r="D31" s="60">
        <f>IF(D7=1,$B$63/12,IF(D7=2,$C$63/12,$D$63/12))</f>
        <v/>
      </c>
      <c r="E31" s="60">
        <f>IF(E7=1,$B$63/12,IF(E7=2,$C$63/12,$D$63/12))</f>
        <v/>
      </c>
      <c r="F31" s="60">
        <f>IF(F7=1,$B$63/12,IF(F7=2,$C$63/12,$D$63/12))</f>
        <v/>
      </c>
      <c r="G31" s="60">
        <f>IF(G7=1,$B$63/12,IF(G7=2,$C$63/12,$D$63/12))</f>
        <v/>
      </c>
      <c r="H31" s="60">
        <f>IF(H7=1,$B$63/12,IF(H7=2,$C$63/12,$D$63/12))</f>
        <v/>
      </c>
      <c r="I31" s="60">
        <f>IF(I7=1,$B$63/12,IF(I7=2,$C$63/12,$D$63/12))</f>
        <v/>
      </c>
      <c r="J31" s="60">
        <f>IF(J7=1,$B$63/12,IF(J7=2,$C$63/12,$D$63/12))</f>
        <v/>
      </c>
      <c r="K31" s="60">
        <f>IF(K7=1,$B$63/12,IF(K7=2,$C$63/12,$D$63/12))</f>
        <v/>
      </c>
      <c r="L31" s="60">
        <f>IF(L7=1,$B$63/12,IF(L7=2,$C$63/12,$D$63/12))</f>
        <v/>
      </c>
      <c r="M31" s="60">
        <f>IF(M7=1,$B$63/12,IF(M7=2,$C$63/12,$D$63/12))</f>
        <v/>
      </c>
      <c r="N31" s="60">
        <f>IF(N7=1,$B$63/12,IF(N7=2,$C$63/12,$D$63/12))</f>
        <v/>
      </c>
      <c r="O31" s="60">
        <f>IF(O7=1,$B$63/12,IF(O7=2,$C$63/12,$D$63/12))</f>
        <v/>
      </c>
      <c r="P31" s="60">
        <f>IF(P7=1,$B$63/12,IF(P7=2,$C$63/12,$D$63/12))</f>
        <v/>
      </c>
      <c r="Q31" s="60">
        <f>IF(Q7=1,$B$63/12,IF(Q7=2,$C$63/12,$D$63/12))</f>
        <v/>
      </c>
      <c r="R31" s="60">
        <f>IF(R7=1,$B$63/12,IF(R7=2,$C$63/12,$D$63/12))</f>
        <v/>
      </c>
      <c r="S31" s="60">
        <f>IF(S7=1,$B$63/12,IF(S7=2,$C$63/12,$D$63/12))</f>
        <v/>
      </c>
      <c r="T31" s="60">
        <f>IF(T7=1,$B$63/12,IF(T7=2,$C$63/12,$D$63/12))</f>
        <v/>
      </c>
      <c r="U31" s="60">
        <f>IF(U7=1,$B$63/12,IF(U7=2,$C$63/12,$D$63/12))</f>
        <v/>
      </c>
      <c r="V31" s="60">
        <f>IF(V7=1,$B$63/12,IF(V7=2,$C$63/12,$D$63/12))</f>
        <v/>
      </c>
      <c r="W31" s="60">
        <f>IF(W7=1,$B$63/12,IF(W7=2,$C$63/12,$D$63/12))</f>
        <v/>
      </c>
      <c r="X31" s="60">
        <f>IF(X7=1,$B$63/12,IF(X7=2,$C$63/12,$D$63/12))</f>
        <v/>
      </c>
      <c r="Y31" s="60">
        <f>IF(Y7=1,$B$63/12,IF(Y7=2,$C$63/12,$D$63/12))</f>
        <v/>
      </c>
      <c r="Z31" s="60">
        <f>IF(Z7=1,$B$63/12,IF(Z7=2,$C$63/12,$D$63/12))</f>
        <v/>
      </c>
      <c r="AA31" s="60">
        <f>IF(AA7=1,$B$63/12,IF(AA7=2,$C$63/12,$D$63/12))</f>
        <v/>
      </c>
      <c r="AB31" s="60">
        <f>IF(AB7=1,$B$63/12,IF(AB7=2,$C$63/12,$D$63/12))</f>
        <v/>
      </c>
      <c r="AC31" s="60">
        <f>IF(AC7=1,$B$63/12,IF(AC7=2,$C$63/12,$D$63/12))</f>
        <v/>
      </c>
      <c r="AD31" s="60">
        <f>IF(AD7=1,$B$63/12,IF(AD7=2,$C$63/12,$D$63/12))</f>
        <v/>
      </c>
      <c r="AE31" s="60">
        <f>IF(AE7=1,$B$63/12,IF(AE7=2,$C$63/12,$D$63/12))</f>
        <v/>
      </c>
      <c r="AF31" s="60">
        <f>IF(AF7=1,$B$63/12,IF(AF7=2,$C$63/12,$D$63/12))</f>
        <v/>
      </c>
      <c r="AG31" s="60">
        <f>IF(AG7=1,$B$63/12,IF(AG7=2,$C$63/12,$D$63/12))</f>
        <v/>
      </c>
      <c r="AH31" s="60">
        <f>IF(AH7=1,$B$63/12,IF(AH7=2,$C$63/12,$D$63/12))</f>
        <v/>
      </c>
      <c r="AI31" s="60">
        <f>IF(AI7=1,$B$63/12,IF(AI7=2,$C$63/12,$D$63/12))</f>
        <v/>
      </c>
      <c r="AJ31" s="60">
        <f>IF(AJ7=1,$B$63/12,IF(AJ7=2,$C$63/12,$D$63/12))</f>
        <v/>
      </c>
      <c r="AK31" s="60">
        <f>IF(AK7=1,$B$63/12,IF(AK7=2,$C$63/12,$D$63/12))</f>
        <v/>
      </c>
      <c r="AL31" s="60">
        <f>IF(AL7=1,$B$63/12,IF(AL7=2,$C$63/12,$D$63/12))</f>
        <v/>
      </c>
      <c r="AM31" s="60">
        <f>SUM(C31:N31)</f>
        <v/>
      </c>
      <c r="AN31" s="60">
        <f>SUM(O31:Z31)</f>
        <v/>
      </c>
      <c r="AO31" s="60">
        <f>SUM(AA31:AL31)</f>
        <v/>
      </c>
      <c r="AP31" s="60">
        <f>SUM(AM31:AO31)</f>
        <v/>
      </c>
    </row>
    <row r="32">
      <c r="A32" s="6" t="inlineStr">
        <is>
          <t>Beneficio neto</t>
        </is>
      </c>
      <c r="B32" s="24" t="inlineStr">
        <is>
          <t>€</t>
        </is>
      </c>
      <c r="C32" s="59">
        <f>C30-C31</f>
        <v/>
      </c>
      <c r="D32" s="59">
        <f>D30-D31</f>
        <v/>
      </c>
      <c r="E32" s="59">
        <f>E30-E31</f>
        <v/>
      </c>
      <c r="F32" s="59">
        <f>F30-F31</f>
        <v/>
      </c>
      <c r="G32" s="59">
        <f>G30-G31</f>
        <v/>
      </c>
      <c r="H32" s="59">
        <f>H30-H31</f>
        <v/>
      </c>
      <c r="I32" s="59">
        <f>I30-I31</f>
        <v/>
      </c>
      <c r="J32" s="59">
        <f>J30-J31</f>
        <v/>
      </c>
      <c r="K32" s="59">
        <f>K30-K31</f>
        <v/>
      </c>
      <c r="L32" s="59">
        <f>L30-L31</f>
        <v/>
      </c>
      <c r="M32" s="59">
        <f>M30-M31</f>
        <v/>
      </c>
      <c r="N32" s="59">
        <f>N30-N31</f>
        <v/>
      </c>
      <c r="O32" s="59">
        <f>O30-O31</f>
        <v/>
      </c>
      <c r="P32" s="59">
        <f>P30-P31</f>
        <v/>
      </c>
      <c r="Q32" s="59">
        <f>Q30-Q31</f>
        <v/>
      </c>
      <c r="R32" s="59">
        <f>R30-R31</f>
        <v/>
      </c>
      <c r="S32" s="59">
        <f>S30-S31</f>
        <v/>
      </c>
      <c r="T32" s="59">
        <f>T30-T31</f>
        <v/>
      </c>
      <c r="U32" s="59">
        <f>U30-U31</f>
        <v/>
      </c>
      <c r="V32" s="59">
        <f>V30-V31</f>
        <v/>
      </c>
      <c r="W32" s="59">
        <f>W30-W31</f>
        <v/>
      </c>
      <c r="X32" s="59">
        <f>X30-X31</f>
        <v/>
      </c>
      <c r="Y32" s="59">
        <f>Y30-Y31</f>
        <v/>
      </c>
      <c r="Z32" s="59">
        <f>Z30-Z31</f>
        <v/>
      </c>
      <c r="AA32" s="59">
        <f>AA30-AA31</f>
        <v/>
      </c>
      <c r="AB32" s="59">
        <f>AB30-AB31</f>
        <v/>
      </c>
      <c r="AC32" s="59">
        <f>AC30-AC31</f>
        <v/>
      </c>
      <c r="AD32" s="59">
        <f>AD30-AD31</f>
        <v/>
      </c>
      <c r="AE32" s="59">
        <f>AE30-AE31</f>
        <v/>
      </c>
      <c r="AF32" s="59">
        <f>AF30-AF31</f>
        <v/>
      </c>
      <c r="AG32" s="59">
        <f>AG30-AG31</f>
        <v/>
      </c>
      <c r="AH32" s="59">
        <f>AH30-AH31</f>
        <v/>
      </c>
      <c r="AI32" s="59">
        <f>AI30-AI31</f>
        <v/>
      </c>
      <c r="AJ32" s="59">
        <f>AJ30-AJ31</f>
        <v/>
      </c>
      <c r="AK32" s="59">
        <f>AK30-AK31</f>
        <v/>
      </c>
      <c r="AL32" s="59">
        <f>AL30-AL31</f>
        <v/>
      </c>
      <c r="AM32" s="59">
        <f>SUM(C32:N32)</f>
        <v/>
      </c>
      <c r="AN32" s="59">
        <f>SUM(O32:Z32)</f>
        <v/>
      </c>
      <c r="AO32" s="59">
        <f>SUM(AA32:AL32)</f>
        <v/>
      </c>
      <c r="AP32" s="59">
        <f>SUM(AM32:AO32)</f>
        <v/>
      </c>
    </row>
    <row r="33">
      <c r="A33" s="6" t="inlineStr">
        <is>
          <t>Margen bruto %</t>
        </is>
      </c>
      <c r="B33" s="24" t="inlineStr">
        <is>
          <t>%</t>
        </is>
      </c>
      <c r="C33" s="34">
        <f>IFERROR(C17/C15,0)</f>
        <v/>
      </c>
      <c r="D33" s="34">
        <f>IFERROR(D17/D15,0)</f>
        <v/>
      </c>
      <c r="E33" s="34">
        <f>IFERROR(E17/E15,0)</f>
        <v/>
      </c>
      <c r="F33" s="34">
        <f>IFERROR(F17/F15,0)</f>
        <v/>
      </c>
      <c r="G33" s="34">
        <f>IFERROR(G17/G15,0)</f>
        <v/>
      </c>
      <c r="H33" s="34">
        <f>IFERROR(H17/H15,0)</f>
        <v/>
      </c>
      <c r="I33" s="34">
        <f>IFERROR(I17/I15,0)</f>
        <v/>
      </c>
      <c r="J33" s="34">
        <f>IFERROR(J17/J15,0)</f>
        <v/>
      </c>
      <c r="K33" s="34">
        <f>IFERROR(K17/K15,0)</f>
        <v/>
      </c>
      <c r="L33" s="34">
        <f>IFERROR(L17/L15,0)</f>
        <v/>
      </c>
      <c r="M33" s="34">
        <f>IFERROR(M17/M15,0)</f>
        <v/>
      </c>
      <c r="N33" s="34">
        <f>IFERROR(N17/N15,0)</f>
        <v/>
      </c>
      <c r="O33" s="34">
        <f>IFERROR(O17/O15,0)</f>
        <v/>
      </c>
      <c r="P33" s="34">
        <f>IFERROR(P17/P15,0)</f>
        <v/>
      </c>
      <c r="Q33" s="34">
        <f>IFERROR(Q17/Q15,0)</f>
        <v/>
      </c>
      <c r="R33" s="34">
        <f>IFERROR(R17/R15,0)</f>
        <v/>
      </c>
      <c r="S33" s="34">
        <f>IFERROR(S17/S15,0)</f>
        <v/>
      </c>
      <c r="T33" s="34">
        <f>IFERROR(T17/T15,0)</f>
        <v/>
      </c>
      <c r="U33" s="34">
        <f>IFERROR(U17/U15,0)</f>
        <v/>
      </c>
      <c r="V33" s="34">
        <f>IFERROR(V17/V15,0)</f>
        <v/>
      </c>
      <c r="W33" s="34">
        <f>IFERROR(W17/W15,0)</f>
        <v/>
      </c>
      <c r="X33" s="34">
        <f>IFERROR(X17/X15,0)</f>
        <v/>
      </c>
      <c r="Y33" s="34">
        <f>IFERROR(Y17/Y15,0)</f>
        <v/>
      </c>
      <c r="Z33" s="34">
        <f>IFERROR(Z17/Z15,0)</f>
        <v/>
      </c>
      <c r="AA33" s="34">
        <f>IFERROR(AA17/AA15,0)</f>
        <v/>
      </c>
      <c r="AB33" s="34">
        <f>IFERROR(AB17/AB15,0)</f>
        <v/>
      </c>
      <c r="AC33" s="34">
        <f>IFERROR(AC17/AC15,0)</f>
        <v/>
      </c>
      <c r="AD33" s="34">
        <f>IFERROR(AD17/AD15,0)</f>
        <v/>
      </c>
      <c r="AE33" s="34">
        <f>IFERROR(AE17/AE15,0)</f>
        <v/>
      </c>
      <c r="AF33" s="34">
        <f>IFERROR(AF17/AF15,0)</f>
        <v/>
      </c>
      <c r="AG33" s="34">
        <f>IFERROR(AG17/AG15,0)</f>
        <v/>
      </c>
      <c r="AH33" s="34">
        <f>IFERROR(AH17/AH15,0)</f>
        <v/>
      </c>
      <c r="AI33" s="34">
        <f>IFERROR(AI17/AI15,0)</f>
        <v/>
      </c>
      <c r="AJ33" s="34">
        <f>IFERROR(AJ17/AJ15,0)</f>
        <v/>
      </c>
      <c r="AK33" s="34">
        <f>IFERROR(AK17/AK15,0)</f>
        <v/>
      </c>
      <c r="AL33" s="34">
        <f>IFERROR(AL17/AL15,0)</f>
        <v/>
      </c>
      <c r="AM33" s="34">
        <f>IFERROR(AM17/AM15,0)</f>
        <v/>
      </c>
      <c r="AN33" s="34">
        <f>IFERROR(AN17/AN15,0)</f>
        <v/>
      </c>
      <c r="AO33" s="34">
        <f>IFERROR(AO17/AO15,0)</f>
        <v/>
      </c>
      <c r="AP33" s="34">
        <f>IFERROR(AP17/AP15,0)</f>
        <v/>
      </c>
    </row>
    <row r="34">
      <c r="A34" s="6" t="inlineStr">
        <is>
          <t>Margen EBITDA %</t>
        </is>
      </c>
      <c r="B34" s="24" t="inlineStr">
        <is>
          <t>%</t>
        </is>
      </c>
      <c r="C34" s="34">
        <f>IFERROR(C26/C15,0)</f>
        <v/>
      </c>
      <c r="D34" s="34">
        <f>IFERROR(D26/D15,0)</f>
        <v/>
      </c>
      <c r="E34" s="34">
        <f>IFERROR(E26/E15,0)</f>
        <v/>
      </c>
      <c r="F34" s="34">
        <f>IFERROR(F26/F15,0)</f>
        <v/>
      </c>
      <c r="G34" s="34">
        <f>IFERROR(G26/G15,0)</f>
        <v/>
      </c>
      <c r="H34" s="34">
        <f>IFERROR(H26/H15,0)</f>
        <v/>
      </c>
      <c r="I34" s="34">
        <f>IFERROR(I26/I15,0)</f>
        <v/>
      </c>
      <c r="J34" s="34">
        <f>IFERROR(J26/J15,0)</f>
        <v/>
      </c>
      <c r="K34" s="34">
        <f>IFERROR(K26/K15,0)</f>
        <v/>
      </c>
      <c r="L34" s="34">
        <f>IFERROR(L26/L15,0)</f>
        <v/>
      </c>
      <c r="M34" s="34">
        <f>IFERROR(M26/M15,0)</f>
        <v/>
      </c>
      <c r="N34" s="34">
        <f>IFERROR(N26/N15,0)</f>
        <v/>
      </c>
      <c r="O34" s="34">
        <f>IFERROR(O26/O15,0)</f>
        <v/>
      </c>
      <c r="P34" s="34">
        <f>IFERROR(P26/P15,0)</f>
        <v/>
      </c>
      <c r="Q34" s="34">
        <f>IFERROR(Q26/Q15,0)</f>
        <v/>
      </c>
      <c r="R34" s="34">
        <f>IFERROR(R26/R15,0)</f>
        <v/>
      </c>
      <c r="S34" s="34">
        <f>IFERROR(S26/S15,0)</f>
        <v/>
      </c>
      <c r="T34" s="34">
        <f>IFERROR(T26/T15,0)</f>
        <v/>
      </c>
      <c r="U34" s="34">
        <f>IFERROR(U26/U15,0)</f>
        <v/>
      </c>
      <c r="V34" s="34">
        <f>IFERROR(V26/V15,0)</f>
        <v/>
      </c>
      <c r="W34" s="34">
        <f>IFERROR(W26/W15,0)</f>
        <v/>
      </c>
      <c r="X34" s="34">
        <f>IFERROR(X26/X15,0)</f>
        <v/>
      </c>
      <c r="Y34" s="34">
        <f>IFERROR(Y26/Y15,0)</f>
        <v/>
      </c>
      <c r="Z34" s="34">
        <f>IFERROR(Z26/Z15,0)</f>
        <v/>
      </c>
      <c r="AA34" s="34">
        <f>IFERROR(AA26/AA15,0)</f>
        <v/>
      </c>
      <c r="AB34" s="34">
        <f>IFERROR(AB26/AB15,0)</f>
        <v/>
      </c>
      <c r="AC34" s="34">
        <f>IFERROR(AC26/AC15,0)</f>
        <v/>
      </c>
      <c r="AD34" s="34">
        <f>IFERROR(AD26/AD15,0)</f>
        <v/>
      </c>
      <c r="AE34" s="34">
        <f>IFERROR(AE26/AE15,0)</f>
        <v/>
      </c>
      <c r="AF34" s="34">
        <f>IFERROR(AF26/AF15,0)</f>
        <v/>
      </c>
      <c r="AG34" s="34">
        <f>IFERROR(AG26/AG15,0)</f>
        <v/>
      </c>
      <c r="AH34" s="34">
        <f>IFERROR(AH26/AH15,0)</f>
        <v/>
      </c>
      <c r="AI34" s="34">
        <f>IFERROR(AI26/AI15,0)</f>
        <v/>
      </c>
      <c r="AJ34" s="34">
        <f>IFERROR(AJ26/AJ15,0)</f>
        <v/>
      </c>
      <c r="AK34" s="34">
        <f>IFERROR(AK26/AK15,0)</f>
        <v/>
      </c>
      <c r="AL34" s="34">
        <f>IFERROR(AL26/AL15,0)</f>
        <v/>
      </c>
      <c r="AM34" s="34">
        <f>IFERROR(AM26/AM15,0)</f>
        <v/>
      </c>
      <c r="AN34" s="34">
        <f>IFERROR(AN26/AN15,0)</f>
        <v/>
      </c>
      <c r="AO34" s="34">
        <f>IFERROR(AO26/AO15,0)</f>
        <v/>
      </c>
      <c r="AP34" s="34">
        <f>IFERROR(AP26/AP15,0)</f>
        <v/>
      </c>
    </row>
    <row r="35">
      <c r="A35" s="6" t="inlineStr">
        <is>
          <t>Margen neto %</t>
        </is>
      </c>
      <c r="B35" s="24" t="inlineStr">
        <is>
          <t>%</t>
        </is>
      </c>
      <c r="C35" s="34">
        <f>IFERROR(C32/C15,0)</f>
        <v/>
      </c>
      <c r="D35" s="34">
        <f>IFERROR(D32/D15,0)</f>
        <v/>
      </c>
      <c r="E35" s="34">
        <f>IFERROR(E32/E15,0)</f>
        <v/>
      </c>
      <c r="F35" s="34">
        <f>IFERROR(F32/F15,0)</f>
        <v/>
      </c>
      <c r="G35" s="34">
        <f>IFERROR(G32/G15,0)</f>
        <v/>
      </c>
      <c r="H35" s="34">
        <f>IFERROR(H32/H15,0)</f>
        <v/>
      </c>
      <c r="I35" s="34">
        <f>IFERROR(I32/I15,0)</f>
        <v/>
      </c>
      <c r="J35" s="34">
        <f>IFERROR(J32/J15,0)</f>
        <v/>
      </c>
      <c r="K35" s="34">
        <f>IFERROR(K32/K15,0)</f>
        <v/>
      </c>
      <c r="L35" s="34">
        <f>IFERROR(L32/L15,0)</f>
        <v/>
      </c>
      <c r="M35" s="34">
        <f>IFERROR(M32/M15,0)</f>
        <v/>
      </c>
      <c r="N35" s="34">
        <f>IFERROR(N32/N15,0)</f>
        <v/>
      </c>
      <c r="O35" s="34">
        <f>IFERROR(O32/O15,0)</f>
        <v/>
      </c>
      <c r="P35" s="34">
        <f>IFERROR(P32/P15,0)</f>
        <v/>
      </c>
      <c r="Q35" s="34">
        <f>IFERROR(Q32/Q15,0)</f>
        <v/>
      </c>
      <c r="R35" s="34">
        <f>IFERROR(R32/R15,0)</f>
        <v/>
      </c>
      <c r="S35" s="34">
        <f>IFERROR(S32/S15,0)</f>
        <v/>
      </c>
      <c r="T35" s="34">
        <f>IFERROR(T32/T15,0)</f>
        <v/>
      </c>
      <c r="U35" s="34">
        <f>IFERROR(U32/U15,0)</f>
        <v/>
      </c>
      <c r="V35" s="34">
        <f>IFERROR(V32/V15,0)</f>
        <v/>
      </c>
      <c r="W35" s="34">
        <f>IFERROR(W32/W15,0)</f>
        <v/>
      </c>
      <c r="X35" s="34">
        <f>IFERROR(X32/X15,0)</f>
        <v/>
      </c>
      <c r="Y35" s="34">
        <f>IFERROR(Y32/Y15,0)</f>
        <v/>
      </c>
      <c r="Z35" s="34">
        <f>IFERROR(Z32/Z15,0)</f>
        <v/>
      </c>
      <c r="AA35" s="34">
        <f>IFERROR(AA32/AA15,0)</f>
        <v/>
      </c>
      <c r="AB35" s="34">
        <f>IFERROR(AB32/AB15,0)</f>
        <v/>
      </c>
      <c r="AC35" s="34">
        <f>IFERROR(AC32/AC15,0)</f>
        <v/>
      </c>
      <c r="AD35" s="34">
        <f>IFERROR(AD32/AD15,0)</f>
        <v/>
      </c>
      <c r="AE35" s="34">
        <f>IFERROR(AE32/AE15,0)</f>
        <v/>
      </c>
      <c r="AF35" s="34">
        <f>IFERROR(AF32/AF15,0)</f>
        <v/>
      </c>
      <c r="AG35" s="34">
        <f>IFERROR(AG32/AG15,0)</f>
        <v/>
      </c>
      <c r="AH35" s="34">
        <f>IFERROR(AH32/AH15,0)</f>
        <v/>
      </c>
      <c r="AI35" s="34">
        <f>IFERROR(AI32/AI15,0)</f>
        <v/>
      </c>
      <c r="AJ35" s="34">
        <f>IFERROR(AJ32/AJ15,0)</f>
        <v/>
      </c>
      <c r="AK35" s="34">
        <f>IFERROR(AK32/AK15,0)</f>
        <v/>
      </c>
      <c r="AL35" s="34">
        <f>IFERROR(AL32/AL15,0)</f>
        <v/>
      </c>
      <c r="AM35" s="34">
        <f>IFERROR(AM32/AM15,0)</f>
        <v/>
      </c>
      <c r="AN35" s="34">
        <f>IFERROR(AN32/AN15,0)</f>
        <v/>
      </c>
      <c r="AO35" s="34">
        <f>IFERROR(AO32/AO15,0)</f>
        <v/>
      </c>
      <c r="AP35" s="34">
        <f>IFERROR(AP32/AP15,0)</f>
        <v/>
      </c>
    </row>
    <row r="36">
      <c r="A36" s="6" t="inlineStr">
        <is>
          <t>Check P&amp;L (debe ser 0)</t>
        </is>
      </c>
      <c r="B36" s="24" t="inlineStr">
        <is>
          <t>€</t>
        </is>
      </c>
      <c r="C36" s="37">
        <f>C17-C25-C26</f>
        <v/>
      </c>
      <c r="D36" s="37">
        <f>D17-D25-D26</f>
        <v/>
      </c>
      <c r="E36" s="37">
        <f>E17-E25-E26</f>
        <v/>
      </c>
      <c r="F36" s="37">
        <f>F17-F25-F26</f>
        <v/>
      </c>
      <c r="G36" s="37">
        <f>G17-G25-G26</f>
        <v/>
      </c>
      <c r="H36" s="37">
        <f>H17-H25-H26</f>
        <v/>
      </c>
      <c r="I36" s="37">
        <f>I17-I25-I26</f>
        <v/>
      </c>
      <c r="J36" s="37">
        <f>J17-J25-J26</f>
        <v/>
      </c>
      <c r="K36" s="37">
        <f>K17-K25-K26</f>
        <v/>
      </c>
      <c r="L36" s="37">
        <f>L17-L25-L26</f>
        <v/>
      </c>
      <c r="M36" s="37">
        <f>M17-M25-M26</f>
        <v/>
      </c>
      <c r="N36" s="37">
        <f>N17-N25-N26</f>
        <v/>
      </c>
      <c r="O36" s="37">
        <f>O17-O25-O26</f>
        <v/>
      </c>
      <c r="P36" s="37">
        <f>P17-P25-P26</f>
        <v/>
      </c>
      <c r="Q36" s="37">
        <f>Q17-Q25-Q26</f>
        <v/>
      </c>
      <c r="R36" s="37">
        <f>R17-R25-R26</f>
        <v/>
      </c>
      <c r="S36" s="37">
        <f>S17-S25-S26</f>
        <v/>
      </c>
      <c r="T36" s="37">
        <f>T17-T25-T26</f>
        <v/>
      </c>
      <c r="U36" s="37">
        <f>U17-U25-U26</f>
        <v/>
      </c>
      <c r="V36" s="37">
        <f>V17-V25-V26</f>
        <v/>
      </c>
      <c r="W36" s="37">
        <f>W17-W25-W26</f>
        <v/>
      </c>
      <c r="X36" s="37">
        <f>X17-X25-X26</f>
        <v/>
      </c>
      <c r="Y36" s="37">
        <f>Y17-Y25-Y26</f>
        <v/>
      </c>
      <c r="Z36" s="37">
        <f>Z17-Z25-Z26</f>
        <v/>
      </c>
      <c r="AA36" s="37">
        <f>AA17-AA25-AA26</f>
        <v/>
      </c>
      <c r="AB36" s="37">
        <f>AB17-AB25-AB26</f>
        <v/>
      </c>
      <c r="AC36" s="37">
        <f>AC17-AC25-AC26</f>
        <v/>
      </c>
      <c r="AD36" s="37">
        <f>AD17-AD25-AD26</f>
        <v/>
      </c>
      <c r="AE36" s="37">
        <f>AE17-AE25-AE26</f>
        <v/>
      </c>
      <c r="AF36" s="37">
        <f>AF17-AF25-AF26</f>
        <v/>
      </c>
      <c r="AG36" s="37">
        <f>AG17-AG25-AG26</f>
        <v/>
      </c>
      <c r="AH36" s="37">
        <f>AH17-AH25-AH26</f>
        <v/>
      </c>
      <c r="AI36" s="37">
        <f>AI17-AI25-AI26</f>
        <v/>
      </c>
      <c r="AJ36" s="37">
        <f>AJ17-AJ25-AJ26</f>
        <v/>
      </c>
      <c r="AK36" s="37">
        <f>AK17-AK25-AK26</f>
        <v/>
      </c>
      <c r="AL36" s="37">
        <f>AL17-AL25-AL26</f>
        <v/>
      </c>
      <c r="AM36" s="37">
        <f>AM17-AM25-AM26</f>
        <v/>
      </c>
      <c r="AN36" s="37">
        <f>AN17-AN25-AN26</f>
        <v/>
      </c>
      <c r="AO36" s="37">
        <f>AO17-AO25-AO26</f>
        <v/>
      </c>
      <c r="AP36" s="37">
        <f>SUM(AM36:AO36)</f>
        <v/>
      </c>
    </row>
    <row r="37" ht="20" customHeight="1">
      <c r="A37" s="16" t="inlineStr">
        <is>
          <t>CAJA</t>
        </is>
      </c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</row>
    <row r="38">
      <c r="A38" s="6" t="inlineStr">
        <is>
          <t>Caja inicial</t>
        </is>
      </c>
      <c r="B38" s="24" t="inlineStr">
        <is>
          <t>€</t>
        </is>
      </c>
      <c r="C38" s="60">
        <f>OpeningCash</f>
        <v/>
      </c>
      <c r="D38" s="60">
        <f>C48</f>
        <v/>
      </c>
      <c r="E38" s="60">
        <f>D48</f>
        <v/>
      </c>
      <c r="F38" s="60">
        <f>E48</f>
        <v/>
      </c>
      <c r="G38" s="60">
        <f>F48</f>
        <v/>
      </c>
      <c r="H38" s="60">
        <f>G48</f>
        <v/>
      </c>
      <c r="I38" s="60">
        <f>H48</f>
        <v/>
      </c>
      <c r="J38" s="60">
        <f>I48</f>
        <v/>
      </c>
      <c r="K38" s="60">
        <f>J48</f>
        <v/>
      </c>
      <c r="L38" s="60">
        <f>K48</f>
        <v/>
      </c>
      <c r="M38" s="60">
        <f>L48</f>
        <v/>
      </c>
      <c r="N38" s="60">
        <f>M48</f>
        <v/>
      </c>
      <c r="O38" s="60">
        <f>N48</f>
        <v/>
      </c>
      <c r="P38" s="60">
        <f>O48</f>
        <v/>
      </c>
      <c r="Q38" s="60">
        <f>P48</f>
        <v/>
      </c>
      <c r="R38" s="60">
        <f>Q48</f>
        <v/>
      </c>
      <c r="S38" s="60">
        <f>R48</f>
        <v/>
      </c>
      <c r="T38" s="60">
        <f>S48</f>
        <v/>
      </c>
      <c r="U38" s="60">
        <f>T48</f>
        <v/>
      </c>
      <c r="V38" s="60">
        <f>U48</f>
        <v/>
      </c>
      <c r="W38" s="60">
        <f>V48</f>
        <v/>
      </c>
      <c r="X38" s="60">
        <f>W48</f>
        <v/>
      </c>
      <c r="Y38" s="60">
        <f>X48</f>
        <v/>
      </c>
      <c r="Z38" s="60">
        <f>Y48</f>
        <v/>
      </c>
      <c r="AA38" s="60">
        <f>Z48</f>
        <v/>
      </c>
      <c r="AB38" s="60">
        <f>AA48</f>
        <v/>
      </c>
      <c r="AC38" s="60">
        <f>AB48</f>
        <v/>
      </c>
      <c r="AD38" s="60">
        <f>AC48</f>
        <v/>
      </c>
      <c r="AE38" s="60">
        <f>AD48</f>
        <v/>
      </c>
      <c r="AF38" s="60">
        <f>AE48</f>
        <v/>
      </c>
      <c r="AG38" s="60">
        <f>AF48</f>
        <v/>
      </c>
      <c r="AH38" s="60">
        <f>AG48</f>
        <v/>
      </c>
      <c r="AI38" s="60">
        <f>AH48</f>
        <v/>
      </c>
      <c r="AJ38" s="60">
        <f>AI48</f>
        <v/>
      </c>
      <c r="AK38" s="60">
        <f>AJ48</f>
        <v/>
      </c>
      <c r="AL38" s="60">
        <f>AK48</f>
        <v/>
      </c>
      <c r="AM38" s="60">
        <f>N38</f>
        <v/>
      </c>
      <c r="AN38" s="60">
        <f>Z38</f>
        <v/>
      </c>
      <c r="AO38" s="60">
        <f>AL38</f>
        <v/>
      </c>
      <c r="AP38" s="60">
        <f>AO38</f>
        <v/>
      </c>
    </row>
    <row r="39">
      <c r="A39" s="6" t="inlineStr">
        <is>
          <t>Capital circulante</t>
        </is>
      </c>
      <c r="B39" s="24" t="inlineStr">
        <is>
          <t>€</t>
        </is>
      </c>
      <c r="C39" s="60">
        <f>C16*(InventoryDays-PayableDays)/365</f>
        <v/>
      </c>
      <c r="D39" s="60">
        <f>D16*(InventoryDays-PayableDays)/365</f>
        <v/>
      </c>
      <c r="E39" s="60">
        <f>E16*(InventoryDays-PayableDays)/365</f>
        <v/>
      </c>
      <c r="F39" s="60">
        <f>F16*(InventoryDays-PayableDays)/365</f>
        <v/>
      </c>
      <c r="G39" s="60">
        <f>G16*(InventoryDays-PayableDays)/365</f>
        <v/>
      </c>
      <c r="H39" s="60">
        <f>H16*(InventoryDays-PayableDays)/365</f>
        <v/>
      </c>
      <c r="I39" s="60">
        <f>I16*(InventoryDays-PayableDays)/365</f>
        <v/>
      </c>
      <c r="J39" s="60">
        <f>J16*(InventoryDays-PayableDays)/365</f>
        <v/>
      </c>
      <c r="K39" s="60">
        <f>K16*(InventoryDays-PayableDays)/365</f>
        <v/>
      </c>
      <c r="L39" s="60">
        <f>L16*(InventoryDays-PayableDays)/365</f>
        <v/>
      </c>
      <c r="M39" s="60">
        <f>M16*(InventoryDays-PayableDays)/365</f>
        <v/>
      </c>
      <c r="N39" s="60">
        <f>N16*(InventoryDays-PayableDays)/365</f>
        <v/>
      </c>
      <c r="O39" s="60">
        <f>O16*(InventoryDays-PayableDays)/365</f>
        <v/>
      </c>
      <c r="P39" s="60">
        <f>P16*(InventoryDays-PayableDays)/365</f>
        <v/>
      </c>
      <c r="Q39" s="60">
        <f>Q16*(InventoryDays-PayableDays)/365</f>
        <v/>
      </c>
      <c r="R39" s="60">
        <f>R16*(InventoryDays-PayableDays)/365</f>
        <v/>
      </c>
      <c r="S39" s="60">
        <f>S16*(InventoryDays-PayableDays)/365</f>
        <v/>
      </c>
      <c r="T39" s="60">
        <f>T16*(InventoryDays-PayableDays)/365</f>
        <v/>
      </c>
      <c r="U39" s="60">
        <f>U16*(InventoryDays-PayableDays)/365</f>
        <v/>
      </c>
      <c r="V39" s="60">
        <f>V16*(InventoryDays-PayableDays)/365</f>
        <v/>
      </c>
      <c r="W39" s="60">
        <f>W16*(InventoryDays-PayableDays)/365</f>
        <v/>
      </c>
      <c r="X39" s="60">
        <f>X16*(InventoryDays-PayableDays)/365</f>
        <v/>
      </c>
      <c r="Y39" s="60">
        <f>Y16*(InventoryDays-PayableDays)/365</f>
        <v/>
      </c>
      <c r="Z39" s="60">
        <f>Z16*(InventoryDays-PayableDays)/365</f>
        <v/>
      </c>
      <c r="AA39" s="60">
        <f>AA16*(InventoryDays-PayableDays)/365</f>
        <v/>
      </c>
      <c r="AB39" s="60">
        <f>AB16*(InventoryDays-PayableDays)/365</f>
        <v/>
      </c>
      <c r="AC39" s="60">
        <f>AC16*(InventoryDays-PayableDays)/365</f>
        <v/>
      </c>
      <c r="AD39" s="60">
        <f>AD16*(InventoryDays-PayableDays)/365</f>
        <v/>
      </c>
      <c r="AE39" s="60">
        <f>AE16*(InventoryDays-PayableDays)/365</f>
        <v/>
      </c>
      <c r="AF39" s="60">
        <f>AF16*(InventoryDays-PayableDays)/365</f>
        <v/>
      </c>
      <c r="AG39" s="60">
        <f>AG16*(InventoryDays-PayableDays)/365</f>
        <v/>
      </c>
      <c r="AH39" s="60">
        <f>AH16*(InventoryDays-PayableDays)/365</f>
        <v/>
      </c>
      <c r="AI39" s="60">
        <f>AI16*(InventoryDays-PayableDays)/365</f>
        <v/>
      </c>
      <c r="AJ39" s="60">
        <f>AJ16*(InventoryDays-PayableDays)/365</f>
        <v/>
      </c>
      <c r="AK39" s="60">
        <f>AK16*(InventoryDays-PayableDays)/365</f>
        <v/>
      </c>
      <c r="AL39" s="60">
        <f>AL16*(InventoryDays-PayableDays)/365</f>
        <v/>
      </c>
      <c r="AM39" s="60">
        <f>N39</f>
        <v/>
      </c>
      <c r="AN39" s="60">
        <f>Z39</f>
        <v/>
      </c>
      <c r="AO39" s="60">
        <f>AL39</f>
        <v/>
      </c>
      <c r="AP39" s="60">
        <f>AO39</f>
        <v/>
      </c>
    </row>
    <row r="40">
      <c r="A40" s="6" t="inlineStr">
        <is>
          <t>Δ capital circulante</t>
        </is>
      </c>
      <c r="B40" s="24" t="inlineStr">
        <is>
          <t>€</t>
        </is>
      </c>
      <c r="C40" s="60">
        <f>C39-WC0</f>
        <v/>
      </c>
      <c r="D40" s="60">
        <f>D39-C39</f>
        <v/>
      </c>
      <c r="E40" s="60">
        <f>E39-D39</f>
        <v/>
      </c>
      <c r="F40" s="60">
        <f>F39-E39</f>
        <v/>
      </c>
      <c r="G40" s="60">
        <f>G39-F39</f>
        <v/>
      </c>
      <c r="H40" s="60">
        <f>H39-G39</f>
        <v/>
      </c>
      <c r="I40" s="60">
        <f>I39-H39</f>
        <v/>
      </c>
      <c r="J40" s="60">
        <f>J39-I39</f>
        <v/>
      </c>
      <c r="K40" s="60">
        <f>K39-J39</f>
        <v/>
      </c>
      <c r="L40" s="60">
        <f>L39-K39</f>
        <v/>
      </c>
      <c r="M40" s="60">
        <f>M39-L39</f>
        <v/>
      </c>
      <c r="N40" s="60">
        <f>N39-M39</f>
        <v/>
      </c>
      <c r="O40" s="60">
        <f>O39-N39</f>
        <v/>
      </c>
      <c r="P40" s="60">
        <f>P39-O39</f>
        <v/>
      </c>
      <c r="Q40" s="60">
        <f>Q39-P39</f>
        <v/>
      </c>
      <c r="R40" s="60">
        <f>R39-Q39</f>
        <v/>
      </c>
      <c r="S40" s="60">
        <f>S39-R39</f>
        <v/>
      </c>
      <c r="T40" s="60">
        <f>T39-S39</f>
        <v/>
      </c>
      <c r="U40" s="60">
        <f>U39-T39</f>
        <v/>
      </c>
      <c r="V40" s="60">
        <f>V39-U39</f>
        <v/>
      </c>
      <c r="W40" s="60">
        <f>W39-V39</f>
        <v/>
      </c>
      <c r="X40" s="60">
        <f>X39-W39</f>
        <v/>
      </c>
      <c r="Y40" s="60">
        <f>Y39-X39</f>
        <v/>
      </c>
      <c r="Z40" s="60">
        <f>Z39-Y39</f>
        <v/>
      </c>
      <c r="AA40" s="60">
        <f>AA39-Z39</f>
        <v/>
      </c>
      <c r="AB40" s="60">
        <f>AB39-AA39</f>
        <v/>
      </c>
      <c r="AC40" s="60">
        <f>AC39-AB39</f>
        <v/>
      </c>
      <c r="AD40" s="60">
        <f>AD39-AC39</f>
        <v/>
      </c>
      <c r="AE40" s="60">
        <f>AE39-AD39</f>
        <v/>
      </c>
      <c r="AF40" s="60">
        <f>AF39-AE39</f>
        <v/>
      </c>
      <c r="AG40" s="60">
        <f>AG39-AF39</f>
        <v/>
      </c>
      <c r="AH40" s="60">
        <f>AH39-AG39</f>
        <v/>
      </c>
      <c r="AI40" s="60">
        <f>AI39-AH39</f>
        <v/>
      </c>
      <c r="AJ40" s="60">
        <f>AJ39-AI39</f>
        <v/>
      </c>
      <c r="AK40" s="60">
        <f>AK39-AJ39</f>
        <v/>
      </c>
      <c r="AL40" s="60">
        <f>AL39-AK39</f>
        <v/>
      </c>
      <c r="AM40" s="60">
        <f>SUM(C40:N40)</f>
        <v/>
      </c>
      <c r="AN40" s="60">
        <f>SUM(O40:Z40)</f>
        <v/>
      </c>
      <c r="AO40" s="60">
        <f>SUM(AA40:AL40)</f>
        <v/>
      </c>
      <c r="AP40" s="60">
        <f>SUM(AM40:AO40)</f>
        <v/>
      </c>
    </row>
    <row r="41">
      <c r="A41" s="6" t="inlineStr">
        <is>
          <t>Capex de mantenimiento</t>
        </is>
      </c>
      <c r="B41" s="24" t="inlineStr">
        <is>
          <t>€</t>
        </is>
      </c>
      <c r="C41" s="60">
        <f>C15*MaintenanceCapexPct</f>
        <v/>
      </c>
      <c r="D41" s="60">
        <f>D15*MaintenanceCapexPct</f>
        <v/>
      </c>
      <c r="E41" s="60">
        <f>E15*MaintenanceCapexPct</f>
        <v/>
      </c>
      <c r="F41" s="60">
        <f>F15*MaintenanceCapexPct</f>
        <v/>
      </c>
      <c r="G41" s="60">
        <f>G15*MaintenanceCapexPct</f>
        <v/>
      </c>
      <c r="H41" s="60">
        <f>H15*MaintenanceCapexPct</f>
        <v/>
      </c>
      <c r="I41" s="60">
        <f>I15*MaintenanceCapexPct</f>
        <v/>
      </c>
      <c r="J41" s="60">
        <f>J15*MaintenanceCapexPct</f>
        <v/>
      </c>
      <c r="K41" s="60">
        <f>K15*MaintenanceCapexPct</f>
        <v/>
      </c>
      <c r="L41" s="60">
        <f>L15*MaintenanceCapexPct</f>
        <v/>
      </c>
      <c r="M41" s="60">
        <f>M15*MaintenanceCapexPct</f>
        <v/>
      </c>
      <c r="N41" s="60">
        <f>N15*MaintenanceCapexPct</f>
        <v/>
      </c>
      <c r="O41" s="60">
        <f>O15*MaintenanceCapexPct</f>
        <v/>
      </c>
      <c r="P41" s="60">
        <f>P15*MaintenanceCapexPct</f>
        <v/>
      </c>
      <c r="Q41" s="60">
        <f>Q15*MaintenanceCapexPct</f>
        <v/>
      </c>
      <c r="R41" s="60">
        <f>R15*MaintenanceCapexPct</f>
        <v/>
      </c>
      <c r="S41" s="60">
        <f>S15*MaintenanceCapexPct</f>
        <v/>
      </c>
      <c r="T41" s="60">
        <f>T15*MaintenanceCapexPct</f>
        <v/>
      </c>
      <c r="U41" s="60">
        <f>U15*MaintenanceCapexPct</f>
        <v/>
      </c>
      <c r="V41" s="60">
        <f>V15*MaintenanceCapexPct</f>
        <v/>
      </c>
      <c r="W41" s="60">
        <f>W15*MaintenanceCapexPct</f>
        <v/>
      </c>
      <c r="X41" s="60">
        <f>X15*MaintenanceCapexPct</f>
        <v/>
      </c>
      <c r="Y41" s="60">
        <f>Y15*MaintenanceCapexPct</f>
        <v/>
      </c>
      <c r="Z41" s="60">
        <f>Z15*MaintenanceCapexPct</f>
        <v/>
      </c>
      <c r="AA41" s="60">
        <f>AA15*MaintenanceCapexPct</f>
        <v/>
      </c>
      <c r="AB41" s="60">
        <f>AB15*MaintenanceCapexPct</f>
        <v/>
      </c>
      <c r="AC41" s="60">
        <f>AC15*MaintenanceCapexPct</f>
        <v/>
      </c>
      <c r="AD41" s="60">
        <f>AD15*MaintenanceCapexPct</f>
        <v/>
      </c>
      <c r="AE41" s="60">
        <f>AE15*MaintenanceCapexPct</f>
        <v/>
      </c>
      <c r="AF41" s="60">
        <f>AF15*MaintenanceCapexPct</f>
        <v/>
      </c>
      <c r="AG41" s="60">
        <f>AG15*MaintenanceCapexPct</f>
        <v/>
      </c>
      <c r="AH41" s="60">
        <f>AH15*MaintenanceCapexPct</f>
        <v/>
      </c>
      <c r="AI41" s="60">
        <f>AI15*MaintenanceCapexPct</f>
        <v/>
      </c>
      <c r="AJ41" s="60">
        <f>AJ15*MaintenanceCapexPct</f>
        <v/>
      </c>
      <c r="AK41" s="60">
        <f>AK15*MaintenanceCapexPct</f>
        <v/>
      </c>
      <c r="AL41" s="60">
        <f>AL15*MaintenanceCapexPct</f>
        <v/>
      </c>
      <c r="AM41" s="60">
        <f>SUM(C41:N41)</f>
        <v/>
      </c>
      <c r="AN41" s="60">
        <f>SUM(O41:Z41)</f>
        <v/>
      </c>
      <c r="AO41" s="60">
        <f>SUM(AA41:AL41)</f>
        <v/>
      </c>
      <c r="AP41" s="60">
        <f>SUM(AM41:AO41)</f>
        <v/>
      </c>
    </row>
    <row r="42">
      <c r="A42" s="6" t="inlineStr">
        <is>
          <t>Impuesto teórico sin deuda</t>
        </is>
      </c>
      <c r="B42" s="24" t="inlineStr">
        <is>
          <t>€</t>
        </is>
      </c>
      <c r="C42" s="60">
        <f>IF(C7=1,$B$68/12,IF(C7=2,$C$68/12,$D$68/12))</f>
        <v/>
      </c>
      <c r="D42" s="60">
        <f>IF(D7=1,$B$68/12,IF(D7=2,$C$68/12,$D$68/12))</f>
        <v/>
      </c>
      <c r="E42" s="60">
        <f>IF(E7=1,$B$68/12,IF(E7=2,$C$68/12,$D$68/12))</f>
        <v/>
      </c>
      <c r="F42" s="60">
        <f>IF(F7=1,$B$68/12,IF(F7=2,$C$68/12,$D$68/12))</f>
        <v/>
      </c>
      <c r="G42" s="60">
        <f>IF(G7=1,$B$68/12,IF(G7=2,$C$68/12,$D$68/12))</f>
        <v/>
      </c>
      <c r="H42" s="60">
        <f>IF(H7=1,$B$68/12,IF(H7=2,$C$68/12,$D$68/12))</f>
        <v/>
      </c>
      <c r="I42" s="60">
        <f>IF(I7=1,$B$68/12,IF(I7=2,$C$68/12,$D$68/12))</f>
        <v/>
      </c>
      <c r="J42" s="60">
        <f>IF(J7=1,$B$68/12,IF(J7=2,$C$68/12,$D$68/12))</f>
        <v/>
      </c>
      <c r="K42" s="60">
        <f>IF(K7=1,$B$68/12,IF(K7=2,$C$68/12,$D$68/12))</f>
        <v/>
      </c>
      <c r="L42" s="60">
        <f>IF(L7=1,$B$68/12,IF(L7=2,$C$68/12,$D$68/12))</f>
        <v/>
      </c>
      <c r="M42" s="60">
        <f>IF(M7=1,$B$68/12,IF(M7=2,$C$68/12,$D$68/12))</f>
        <v/>
      </c>
      <c r="N42" s="60">
        <f>IF(N7=1,$B$68/12,IF(N7=2,$C$68/12,$D$68/12))</f>
        <v/>
      </c>
      <c r="O42" s="60">
        <f>IF(O7=1,$B$68/12,IF(O7=2,$C$68/12,$D$68/12))</f>
        <v/>
      </c>
      <c r="P42" s="60">
        <f>IF(P7=1,$B$68/12,IF(P7=2,$C$68/12,$D$68/12))</f>
        <v/>
      </c>
      <c r="Q42" s="60">
        <f>IF(Q7=1,$B$68/12,IF(Q7=2,$C$68/12,$D$68/12))</f>
        <v/>
      </c>
      <c r="R42" s="60">
        <f>IF(R7=1,$B$68/12,IF(R7=2,$C$68/12,$D$68/12))</f>
        <v/>
      </c>
      <c r="S42" s="60">
        <f>IF(S7=1,$B$68/12,IF(S7=2,$C$68/12,$D$68/12))</f>
        <v/>
      </c>
      <c r="T42" s="60">
        <f>IF(T7=1,$B$68/12,IF(T7=2,$C$68/12,$D$68/12))</f>
        <v/>
      </c>
      <c r="U42" s="60">
        <f>IF(U7=1,$B$68/12,IF(U7=2,$C$68/12,$D$68/12))</f>
        <v/>
      </c>
      <c r="V42" s="60">
        <f>IF(V7=1,$B$68/12,IF(V7=2,$C$68/12,$D$68/12))</f>
        <v/>
      </c>
      <c r="W42" s="60">
        <f>IF(W7=1,$B$68/12,IF(W7=2,$C$68/12,$D$68/12))</f>
        <v/>
      </c>
      <c r="X42" s="60">
        <f>IF(X7=1,$B$68/12,IF(X7=2,$C$68/12,$D$68/12))</f>
        <v/>
      </c>
      <c r="Y42" s="60">
        <f>IF(Y7=1,$B$68/12,IF(Y7=2,$C$68/12,$D$68/12))</f>
        <v/>
      </c>
      <c r="Z42" s="60">
        <f>IF(Z7=1,$B$68/12,IF(Z7=2,$C$68/12,$D$68/12))</f>
        <v/>
      </c>
      <c r="AA42" s="60">
        <f>IF(AA7=1,$B$68/12,IF(AA7=2,$C$68/12,$D$68/12))</f>
        <v/>
      </c>
      <c r="AB42" s="60">
        <f>IF(AB7=1,$B$68/12,IF(AB7=2,$C$68/12,$D$68/12))</f>
        <v/>
      </c>
      <c r="AC42" s="60">
        <f>IF(AC7=1,$B$68/12,IF(AC7=2,$C$68/12,$D$68/12))</f>
        <v/>
      </c>
      <c r="AD42" s="60">
        <f>IF(AD7=1,$B$68/12,IF(AD7=2,$C$68/12,$D$68/12))</f>
        <v/>
      </c>
      <c r="AE42" s="60">
        <f>IF(AE7=1,$B$68/12,IF(AE7=2,$C$68/12,$D$68/12))</f>
        <v/>
      </c>
      <c r="AF42" s="60">
        <f>IF(AF7=1,$B$68/12,IF(AF7=2,$C$68/12,$D$68/12))</f>
        <v/>
      </c>
      <c r="AG42" s="60">
        <f>IF(AG7=1,$B$68/12,IF(AG7=2,$C$68/12,$D$68/12))</f>
        <v/>
      </c>
      <c r="AH42" s="60">
        <f>IF(AH7=1,$B$68/12,IF(AH7=2,$C$68/12,$D$68/12))</f>
        <v/>
      </c>
      <c r="AI42" s="60">
        <f>IF(AI7=1,$B$68/12,IF(AI7=2,$C$68/12,$D$68/12))</f>
        <v/>
      </c>
      <c r="AJ42" s="60">
        <f>IF(AJ7=1,$B$68/12,IF(AJ7=2,$C$68/12,$D$68/12))</f>
        <v/>
      </c>
      <c r="AK42" s="60">
        <f>IF(AK7=1,$B$68/12,IF(AK7=2,$C$68/12,$D$68/12))</f>
        <v/>
      </c>
      <c r="AL42" s="60">
        <f>IF(AL7=1,$B$68/12,IF(AL7=2,$C$68/12,$D$68/12))</f>
        <v/>
      </c>
      <c r="AM42" s="60">
        <f>SUM(C42:N42)</f>
        <v/>
      </c>
      <c r="AN42" s="60">
        <f>SUM(O42:Z42)</f>
        <v/>
      </c>
      <c r="AO42" s="60">
        <f>SUM(AA42:AL42)</f>
        <v/>
      </c>
      <c r="AP42" s="60">
        <f>SUM(AM42:AO42)</f>
        <v/>
      </c>
    </row>
    <row r="43">
      <c r="A43" s="6" t="inlineStr">
        <is>
          <t>FCFF</t>
        </is>
      </c>
      <c r="B43" s="24" t="inlineStr">
        <is>
          <t>€</t>
        </is>
      </c>
      <c r="C43" s="59">
        <f>C26-C42-C41-C40</f>
        <v/>
      </c>
      <c r="D43" s="59">
        <f>D26-D42-D41-D40</f>
        <v/>
      </c>
      <c r="E43" s="59">
        <f>E26-E42-E41-E40</f>
        <v/>
      </c>
      <c r="F43" s="59">
        <f>F26-F42-F41-F40</f>
        <v/>
      </c>
      <c r="G43" s="59">
        <f>G26-G42-G41-G40</f>
        <v/>
      </c>
      <c r="H43" s="59">
        <f>H26-H42-H41-H40</f>
        <v/>
      </c>
      <c r="I43" s="59">
        <f>I26-I42-I41-I40</f>
        <v/>
      </c>
      <c r="J43" s="59">
        <f>J26-J42-J41-J40</f>
        <v/>
      </c>
      <c r="K43" s="59">
        <f>K26-K42-K41-K40</f>
        <v/>
      </c>
      <c r="L43" s="59">
        <f>L26-L42-L41-L40</f>
        <v/>
      </c>
      <c r="M43" s="59">
        <f>M26-M42-M41-M40</f>
        <v/>
      </c>
      <c r="N43" s="59">
        <f>N26-N42-N41-N40</f>
        <v/>
      </c>
      <c r="O43" s="59">
        <f>O26-O42-O41-O40</f>
        <v/>
      </c>
      <c r="P43" s="59">
        <f>P26-P42-P41-P40</f>
        <v/>
      </c>
      <c r="Q43" s="59">
        <f>Q26-Q42-Q41-Q40</f>
        <v/>
      </c>
      <c r="R43" s="59">
        <f>R26-R42-R41-R40</f>
        <v/>
      </c>
      <c r="S43" s="59">
        <f>S26-S42-S41-S40</f>
        <v/>
      </c>
      <c r="T43" s="59">
        <f>T26-T42-T41-T40</f>
        <v/>
      </c>
      <c r="U43" s="59">
        <f>U26-U42-U41-U40</f>
        <v/>
      </c>
      <c r="V43" s="59">
        <f>V26-V42-V41-V40</f>
        <v/>
      </c>
      <c r="W43" s="59">
        <f>W26-W42-W41-W40</f>
        <v/>
      </c>
      <c r="X43" s="59">
        <f>X26-X42-X41-X40</f>
        <v/>
      </c>
      <c r="Y43" s="59">
        <f>Y26-Y42-Y41-Y40</f>
        <v/>
      </c>
      <c r="Z43" s="59">
        <f>Z26-Z42-Z41-Z40</f>
        <v/>
      </c>
      <c r="AA43" s="59">
        <f>AA26-AA42-AA41-AA40</f>
        <v/>
      </c>
      <c r="AB43" s="59">
        <f>AB26-AB42-AB41-AB40</f>
        <v/>
      </c>
      <c r="AC43" s="59">
        <f>AC26-AC42-AC41-AC40</f>
        <v/>
      </c>
      <c r="AD43" s="59">
        <f>AD26-AD42-AD41-AD40</f>
        <v/>
      </c>
      <c r="AE43" s="59">
        <f>AE26-AE42-AE41-AE40</f>
        <v/>
      </c>
      <c r="AF43" s="59">
        <f>AF26-AF42-AF41-AF40</f>
        <v/>
      </c>
      <c r="AG43" s="59">
        <f>AG26-AG42-AG41-AG40</f>
        <v/>
      </c>
      <c r="AH43" s="59">
        <f>AH26-AH42-AH41-AH40</f>
        <v/>
      </c>
      <c r="AI43" s="59">
        <f>AI26-AI42-AI41-AI40</f>
        <v/>
      </c>
      <c r="AJ43" s="59">
        <f>AJ26-AJ42-AJ41-AJ40</f>
        <v/>
      </c>
      <c r="AK43" s="59">
        <f>AK26-AK42-AK41-AK40</f>
        <v/>
      </c>
      <c r="AL43" s="59">
        <f>AL26-AL42-AL41-AL40</f>
        <v/>
      </c>
      <c r="AM43" s="59">
        <f>SUM(C43:N43)</f>
        <v/>
      </c>
      <c r="AN43" s="59">
        <f>SUM(O43:Z43)</f>
        <v/>
      </c>
      <c r="AO43" s="59">
        <f>SUM(AA43:AL43)</f>
        <v/>
      </c>
      <c r="AP43" s="59">
        <f>SUM(AM43:AO43)</f>
        <v/>
      </c>
    </row>
    <row r="44">
      <c r="A44" s="6" t="inlineStr">
        <is>
          <t>Intereses</t>
        </is>
      </c>
      <c r="B44" s="24" t="inlineStr">
        <is>
          <t>€</t>
        </is>
      </c>
      <c r="C44" s="60">
        <f>C53</f>
        <v/>
      </c>
      <c r="D44" s="60">
        <f>D53</f>
        <v/>
      </c>
      <c r="E44" s="60">
        <f>E53</f>
        <v/>
      </c>
      <c r="F44" s="60">
        <f>F53</f>
        <v/>
      </c>
      <c r="G44" s="60">
        <f>G53</f>
        <v/>
      </c>
      <c r="H44" s="60">
        <f>H53</f>
        <v/>
      </c>
      <c r="I44" s="60">
        <f>I53</f>
        <v/>
      </c>
      <c r="J44" s="60">
        <f>J53</f>
        <v/>
      </c>
      <c r="K44" s="60">
        <f>K53</f>
        <v/>
      </c>
      <c r="L44" s="60">
        <f>L53</f>
        <v/>
      </c>
      <c r="M44" s="60">
        <f>M53</f>
        <v/>
      </c>
      <c r="N44" s="60">
        <f>N53</f>
        <v/>
      </c>
      <c r="O44" s="60">
        <f>O53</f>
        <v/>
      </c>
      <c r="P44" s="60">
        <f>P53</f>
        <v/>
      </c>
      <c r="Q44" s="60">
        <f>Q53</f>
        <v/>
      </c>
      <c r="R44" s="60">
        <f>R53</f>
        <v/>
      </c>
      <c r="S44" s="60">
        <f>S53</f>
        <v/>
      </c>
      <c r="T44" s="60">
        <f>T53</f>
        <v/>
      </c>
      <c r="U44" s="60">
        <f>U53</f>
        <v/>
      </c>
      <c r="V44" s="60">
        <f>V53</f>
        <v/>
      </c>
      <c r="W44" s="60">
        <f>W53</f>
        <v/>
      </c>
      <c r="X44" s="60">
        <f>X53</f>
        <v/>
      </c>
      <c r="Y44" s="60">
        <f>Y53</f>
        <v/>
      </c>
      <c r="Z44" s="60">
        <f>Z53</f>
        <v/>
      </c>
      <c r="AA44" s="60">
        <f>AA53</f>
        <v/>
      </c>
      <c r="AB44" s="60">
        <f>AB53</f>
        <v/>
      </c>
      <c r="AC44" s="60">
        <f>AC53</f>
        <v/>
      </c>
      <c r="AD44" s="60">
        <f>AD53</f>
        <v/>
      </c>
      <c r="AE44" s="60">
        <f>AE53</f>
        <v/>
      </c>
      <c r="AF44" s="60">
        <f>AF53</f>
        <v/>
      </c>
      <c r="AG44" s="60">
        <f>AG53</f>
        <v/>
      </c>
      <c r="AH44" s="60">
        <f>AH53</f>
        <v/>
      </c>
      <c r="AI44" s="60">
        <f>AI53</f>
        <v/>
      </c>
      <c r="AJ44" s="60">
        <f>AJ53</f>
        <v/>
      </c>
      <c r="AK44" s="60">
        <f>AK53</f>
        <v/>
      </c>
      <c r="AL44" s="60">
        <f>AL53</f>
        <v/>
      </c>
      <c r="AM44" s="60">
        <f>SUM(C44:N44)</f>
        <v/>
      </c>
      <c r="AN44" s="60">
        <f>SUM(O44:Z44)</f>
        <v/>
      </c>
      <c r="AO44" s="60">
        <f>SUM(AA44:AL44)</f>
        <v/>
      </c>
      <c r="AP44" s="60">
        <f>SUM(AM44:AO44)</f>
        <v/>
      </c>
    </row>
    <row r="45">
      <c r="A45" s="6" t="inlineStr">
        <is>
          <t>Escudo fiscal</t>
        </is>
      </c>
      <c r="B45" s="24" t="inlineStr">
        <is>
          <t>€</t>
        </is>
      </c>
      <c r="C45" s="60">
        <f>C42-C31</f>
        <v/>
      </c>
      <c r="D45" s="60">
        <f>D42-D31</f>
        <v/>
      </c>
      <c r="E45" s="60">
        <f>E42-E31</f>
        <v/>
      </c>
      <c r="F45" s="60">
        <f>F42-F31</f>
        <v/>
      </c>
      <c r="G45" s="60">
        <f>G42-G31</f>
        <v/>
      </c>
      <c r="H45" s="60">
        <f>H42-H31</f>
        <v/>
      </c>
      <c r="I45" s="60">
        <f>I42-I31</f>
        <v/>
      </c>
      <c r="J45" s="60">
        <f>J42-J31</f>
        <v/>
      </c>
      <c r="K45" s="60">
        <f>K42-K31</f>
        <v/>
      </c>
      <c r="L45" s="60">
        <f>L42-L31</f>
        <v/>
      </c>
      <c r="M45" s="60">
        <f>M42-M31</f>
        <v/>
      </c>
      <c r="N45" s="60">
        <f>N42-N31</f>
        <v/>
      </c>
      <c r="O45" s="60">
        <f>O42-O31</f>
        <v/>
      </c>
      <c r="P45" s="60">
        <f>P42-P31</f>
        <v/>
      </c>
      <c r="Q45" s="60">
        <f>Q42-Q31</f>
        <v/>
      </c>
      <c r="R45" s="60">
        <f>R42-R31</f>
        <v/>
      </c>
      <c r="S45" s="60">
        <f>S42-S31</f>
        <v/>
      </c>
      <c r="T45" s="60">
        <f>T42-T31</f>
        <v/>
      </c>
      <c r="U45" s="60">
        <f>U42-U31</f>
        <v/>
      </c>
      <c r="V45" s="60">
        <f>V42-V31</f>
        <v/>
      </c>
      <c r="W45" s="60">
        <f>W42-W31</f>
        <v/>
      </c>
      <c r="X45" s="60">
        <f>X42-X31</f>
        <v/>
      </c>
      <c r="Y45" s="60">
        <f>Y42-Y31</f>
        <v/>
      </c>
      <c r="Z45" s="60">
        <f>Z42-Z31</f>
        <v/>
      </c>
      <c r="AA45" s="60">
        <f>AA42-AA31</f>
        <v/>
      </c>
      <c r="AB45" s="60">
        <f>AB42-AB31</f>
        <v/>
      </c>
      <c r="AC45" s="60">
        <f>AC42-AC31</f>
        <v/>
      </c>
      <c r="AD45" s="60">
        <f>AD42-AD31</f>
        <v/>
      </c>
      <c r="AE45" s="60">
        <f>AE42-AE31</f>
        <v/>
      </c>
      <c r="AF45" s="60">
        <f>AF42-AF31</f>
        <v/>
      </c>
      <c r="AG45" s="60">
        <f>AG42-AG31</f>
        <v/>
      </c>
      <c r="AH45" s="60">
        <f>AH42-AH31</f>
        <v/>
      </c>
      <c r="AI45" s="60">
        <f>AI42-AI31</f>
        <v/>
      </c>
      <c r="AJ45" s="60">
        <f>AJ42-AJ31</f>
        <v/>
      </c>
      <c r="AK45" s="60">
        <f>AK42-AK31</f>
        <v/>
      </c>
      <c r="AL45" s="60">
        <f>AL42-AL31</f>
        <v/>
      </c>
      <c r="AM45" s="60">
        <f>SUM(C45:N45)</f>
        <v/>
      </c>
      <c r="AN45" s="60">
        <f>SUM(O45:Z45)</f>
        <v/>
      </c>
      <c r="AO45" s="60">
        <f>SUM(AA45:AL45)</f>
        <v/>
      </c>
      <c r="AP45" s="60">
        <f>SUM(AM45:AO45)</f>
        <v/>
      </c>
    </row>
    <row r="46">
      <c r="A46" s="6" t="inlineStr">
        <is>
          <t>Principal</t>
        </is>
      </c>
      <c r="B46" s="24" t="inlineStr">
        <is>
          <t>€</t>
        </is>
      </c>
      <c r="C46" s="60">
        <f>C54</f>
        <v/>
      </c>
      <c r="D46" s="60">
        <f>D54</f>
        <v/>
      </c>
      <c r="E46" s="60">
        <f>E54</f>
        <v/>
      </c>
      <c r="F46" s="60">
        <f>F54</f>
        <v/>
      </c>
      <c r="G46" s="60">
        <f>G54</f>
        <v/>
      </c>
      <c r="H46" s="60">
        <f>H54</f>
        <v/>
      </c>
      <c r="I46" s="60">
        <f>I54</f>
        <v/>
      </c>
      <c r="J46" s="60">
        <f>J54</f>
        <v/>
      </c>
      <c r="K46" s="60">
        <f>K54</f>
        <v/>
      </c>
      <c r="L46" s="60">
        <f>L54</f>
        <v/>
      </c>
      <c r="M46" s="60">
        <f>M54</f>
        <v/>
      </c>
      <c r="N46" s="60">
        <f>N54</f>
        <v/>
      </c>
      <c r="O46" s="60">
        <f>O54</f>
        <v/>
      </c>
      <c r="P46" s="60">
        <f>P54</f>
        <v/>
      </c>
      <c r="Q46" s="60">
        <f>Q54</f>
        <v/>
      </c>
      <c r="R46" s="60">
        <f>R54</f>
        <v/>
      </c>
      <c r="S46" s="60">
        <f>S54</f>
        <v/>
      </c>
      <c r="T46" s="60">
        <f>T54</f>
        <v/>
      </c>
      <c r="U46" s="60">
        <f>U54</f>
        <v/>
      </c>
      <c r="V46" s="60">
        <f>V54</f>
        <v/>
      </c>
      <c r="W46" s="60">
        <f>W54</f>
        <v/>
      </c>
      <c r="X46" s="60">
        <f>X54</f>
        <v/>
      </c>
      <c r="Y46" s="60">
        <f>Y54</f>
        <v/>
      </c>
      <c r="Z46" s="60">
        <f>Z54</f>
        <v/>
      </c>
      <c r="AA46" s="60">
        <f>AA54</f>
        <v/>
      </c>
      <c r="AB46" s="60">
        <f>AB54</f>
        <v/>
      </c>
      <c r="AC46" s="60">
        <f>AC54</f>
        <v/>
      </c>
      <c r="AD46" s="60">
        <f>AD54</f>
        <v/>
      </c>
      <c r="AE46" s="60">
        <f>AE54</f>
        <v/>
      </c>
      <c r="AF46" s="60">
        <f>AF54</f>
        <v/>
      </c>
      <c r="AG46" s="60">
        <f>AG54</f>
        <v/>
      </c>
      <c r="AH46" s="60">
        <f>AH54</f>
        <v/>
      </c>
      <c r="AI46" s="60">
        <f>AI54</f>
        <v/>
      </c>
      <c r="AJ46" s="60">
        <f>AJ54</f>
        <v/>
      </c>
      <c r="AK46" s="60">
        <f>AK54</f>
        <v/>
      </c>
      <c r="AL46" s="60">
        <f>AL54</f>
        <v/>
      </c>
      <c r="AM46" s="60">
        <f>SUM(C46:N46)</f>
        <v/>
      </c>
      <c r="AN46" s="60">
        <f>SUM(O46:Z46)</f>
        <v/>
      </c>
      <c r="AO46" s="60">
        <f>SUM(AA46:AL46)</f>
        <v/>
      </c>
      <c r="AP46" s="60">
        <f>SUM(AM46:AO46)</f>
        <v/>
      </c>
    </row>
    <row r="47">
      <c r="A47" s="6" t="inlineStr">
        <is>
          <t>FCFE</t>
        </is>
      </c>
      <c r="B47" s="24" t="inlineStr">
        <is>
          <t>€</t>
        </is>
      </c>
      <c r="C47" s="59">
        <f>C43-C44+C45-C46</f>
        <v/>
      </c>
      <c r="D47" s="59">
        <f>D43-D44+D45-D46</f>
        <v/>
      </c>
      <c r="E47" s="59">
        <f>E43-E44+E45-E46</f>
        <v/>
      </c>
      <c r="F47" s="59">
        <f>F43-F44+F45-F46</f>
        <v/>
      </c>
      <c r="G47" s="59">
        <f>G43-G44+G45-G46</f>
        <v/>
      </c>
      <c r="H47" s="59">
        <f>H43-H44+H45-H46</f>
        <v/>
      </c>
      <c r="I47" s="59">
        <f>I43-I44+I45-I46</f>
        <v/>
      </c>
      <c r="J47" s="59">
        <f>J43-J44+J45-J46</f>
        <v/>
      </c>
      <c r="K47" s="59">
        <f>K43-K44+K45-K46</f>
        <v/>
      </c>
      <c r="L47" s="59">
        <f>L43-L44+L45-L46</f>
        <v/>
      </c>
      <c r="M47" s="59">
        <f>M43-M44+M45-M46</f>
        <v/>
      </c>
      <c r="N47" s="59">
        <f>N43-N44+N45-N46</f>
        <v/>
      </c>
      <c r="O47" s="59">
        <f>O43-O44+O45-O46</f>
        <v/>
      </c>
      <c r="P47" s="59">
        <f>P43-P44+P45-P46</f>
        <v/>
      </c>
      <c r="Q47" s="59">
        <f>Q43-Q44+Q45-Q46</f>
        <v/>
      </c>
      <c r="R47" s="59">
        <f>R43-R44+R45-R46</f>
        <v/>
      </c>
      <c r="S47" s="59">
        <f>S43-S44+S45-S46</f>
        <v/>
      </c>
      <c r="T47" s="59">
        <f>T43-T44+T45-T46</f>
        <v/>
      </c>
      <c r="U47" s="59">
        <f>U43-U44+U45-U46</f>
        <v/>
      </c>
      <c r="V47" s="59">
        <f>V43-V44+V45-V46</f>
        <v/>
      </c>
      <c r="W47" s="59">
        <f>W43-W44+W45-W46</f>
        <v/>
      </c>
      <c r="X47" s="59">
        <f>X43-X44+X45-X46</f>
        <v/>
      </c>
      <c r="Y47" s="59">
        <f>Y43-Y44+Y45-Y46</f>
        <v/>
      </c>
      <c r="Z47" s="59">
        <f>Z43-Z44+Z45-Z46</f>
        <v/>
      </c>
      <c r="AA47" s="59">
        <f>AA43-AA44+AA45-AA46</f>
        <v/>
      </c>
      <c r="AB47" s="59">
        <f>AB43-AB44+AB45-AB46</f>
        <v/>
      </c>
      <c r="AC47" s="59">
        <f>AC43-AC44+AC45-AC46</f>
        <v/>
      </c>
      <c r="AD47" s="59">
        <f>AD43-AD44+AD45-AD46</f>
        <v/>
      </c>
      <c r="AE47" s="59">
        <f>AE43-AE44+AE45-AE46</f>
        <v/>
      </c>
      <c r="AF47" s="59">
        <f>AF43-AF44+AF45-AF46</f>
        <v/>
      </c>
      <c r="AG47" s="59">
        <f>AG43-AG44+AG45-AG46</f>
        <v/>
      </c>
      <c r="AH47" s="59">
        <f>AH43-AH44+AH45-AH46</f>
        <v/>
      </c>
      <c r="AI47" s="59">
        <f>AI43-AI44+AI45-AI46</f>
        <v/>
      </c>
      <c r="AJ47" s="59">
        <f>AJ43-AJ44+AJ45-AJ46</f>
        <v/>
      </c>
      <c r="AK47" s="59">
        <f>AK43-AK44+AK45-AK46</f>
        <v/>
      </c>
      <c r="AL47" s="59">
        <f>AL43-AL44+AL45-AL46</f>
        <v/>
      </c>
      <c r="AM47" s="59">
        <f>SUM(C47:N47)</f>
        <v/>
      </c>
      <c r="AN47" s="59">
        <f>SUM(O47:Z47)</f>
        <v/>
      </c>
      <c r="AO47" s="59">
        <f>SUM(AA47:AL47)</f>
        <v/>
      </c>
      <c r="AP47" s="59">
        <f>SUM(AM47:AO47)</f>
        <v/>
      </c>
    </row>
    <row r="48">
      <c r="A48" s="6" t="inlineStr">
        <is>
          <t>Caja final</t>
        </is>
      </c>
      <c r="B48" s="24" t="inlineStr">
        <is>
          <t>€</t>
        </is>
      </c>
      <c r="C48" s="59">
        <f>C38+C47</f>
        <v/>
      </c>
      <c r="D48" s="59">
        <f>D38+D47</f>
        <v/>
      </c>
      <c r="E48" s="59">
        <f>E38+E47</f>
        <v/>
      </c>
      <c r="F48" s="59">
        <f>F38+F47</f>
        <v/>
      </c>
      <c r="G48" s="59">
        <f>G38+G47</f>
        <v/>
      </c>
      <c r="H48" s="59">
        <f>H38+H47</f>
        <v/>
      </c>
      <c r="I48" s="59">
        <f>I38+I47</f>
        <v/>
      </c>
      <c r="J48" s="59">
        <f>J38+J47</f>
        <v/>
      </c>
      <c r="K48" s="59">
        <f>K38+K47</f>
        <v/>
      </c>
      <c r="L48" s="59">
        <f>L38+L47</f>
        <v/>
      </c>
      <c r="M48" s="59">
        <f>M38+M47</f>
        <v/>
      </c>
      <c r="N48" s="59">
        <f>N38+N47</f>
        <v/>
      </c>
      <c r="O48" s="59">
        <f>O38+O47</f>
        <v/>
      </c>
      <c r="P48" s="59">
        <f>P38+P47</f>
        <v/>
      </c>
      <c r="Q48" s="59">
        <f>Q38+Q47</f>
        <v/>
      </c>
      <c r="R48" s="59">
        <f>R38+R47</f>
        <v/>
      </c>
      <c r="S48" s="59">
        <f>S38+S47</f>
        <v/>
      </c>
      <c r="T48" s="59">
        <f>T38+T47</f>
        <v/>
      </c>
      <c r="U48" s="59">
        <f>U38+U47</f>
        <v/>
      </c>
      <c r="V48" s="59">
        <f>V38+V47</f>
        <v/>
      </c>
      <c r="W48" s="59">
        <f>W38+W47</f>
        <v/>
      </c>
      <c r="X48" s="59">
        <f>X38+X47</f>
        <v/>
      </c>
      <c r="Y48" s="59">
        <f>Y38+Y47</f>
        <v/>
      </c>
      <c r="Z48" s="59">
        <f>Z38+Z47</f>
        <v/>
      </c>
      <c r="AA48" s="59">
        <f>AA38+AA47</f>
        <v/>
      </c>
      <c r="AB48" s="59">
        <f>AB38+AB47</f>
        <v/>
      </c>
      <c r="AC48" s="59">
        <f>AC38+AC47</f>
        <v/>
      </c>
      <c r="AD48" s="59">
        <f>AD38+AD47</f>
        <v/>
      </c>
      <c r="AE48" s="59">
        <f>AE38+AE47</f>
        <v/>
      </c>
      <c r="AF48" s="59">
        <f>AF38+AF47</f>
        <v/>
      </c>
      <c r="AG48" s="59">
        <f>AG38+AG47</f>
        <v/>
      </c>
      <c r="AH48" s="59">
        <f>AH38+AH47</f>
        <v/>
      </c>
      <c r="AI48" s="59">
        <f>AI38+AI47</f>
        <v/>
      </c>
      <c r="AJ48" s="59">
        <f>AJ38+AJ47</f>
        <v/>
      </c>
      <c r="AK48" s="59">
        <f>AK38+AK47</f>
        <v/>
      </c>
      <c r="AL48" s="59">
        <f>AL38+AL47</f>
        <v/>
      </c>
      <c r="AM48" s="59">
        <f>N48</f>
        <v/>
      </c>
      <c r="AN48" s="59">
        <f>Z48</f>
        <v/>
      </c>
      <c r="AO48" s="59">
        <f>AL48</f>
        <v/>
      </c>
      <c r="AP48" s="59">
        <f>AO48</f>
        <v/>
      </c>
    </row>
    <row r="49">
      <c r="A49" s="6" t="inlineStr">
        <is>
          <t>Check caja mínima</t>
        </is>
      </c>
      <c r="B49" s="24" t="inlineStr">
        <is>
          <t>texto</t>
        </is>
      </c>
      <c r="C49" s="61">
        <f>IF(C48&lt;MinCash,"Alerta","OK")</f>
        <v/>
      </c>
      <c r="D49" s="61">
        <f>IF(D48&lt;MinCash,"Alerta","OK")</f>
        <v/>
      </c>
      <c r="E49" s="61">
        <f>IF(E48&lt;MinCash,"Alerta","OK")</f>
        <v/>
      </c>
      <c r="F49" s="61">
        <f>IF(F48&lt;MinCash,"Alerta","OK")</f>
        <v/>
      </c>
      <c r="G49" s="61">
        <f>IF(G48&lt;MinCash,"Alerta","OK")</f>
        <v/>
      </c>
      <c r="H49" s="61">
        <f>IF(H48&lt;MinCash,"Alerta","OK")</f>
        <v/>
      </c>
      <c r="I49" s="61">
        <f>IF(I48&lt;MinCash,"Alerta","OK")</f>
        <v/>
      </c>
      <c r="J49" s="61">
        <f>IF(J48&lt;MinCash,"Alerta","OK")</f>
        <v/>
      </c>
      <c r="K49" s="61">
        <f>IF(K48&lt;MinCash,"Alerta","OK")</f>
        <v/>
      </c>
      <c r="L49" s="61">
        <f>IF(L48&lt;MinCash,"Alerta","OK")</f>
        <v/>
      </c>
      <c r="M49" s="61">
        <f>IF(M48&lt;MinCash,"Alerta","OK")</f>
        <v/>
      </c>
      <c r="N49" s="61">
        <f>IF(N48&lt;MinCash,"Alerta","OK")</f>
        <v/>
      </c>
      <c r="O49" s="61">
        <f>IF(O48&lt;MinCash,"Alerta","OK")</f>
        <v/>
      </c>
      <c r="P49" s="61">
        <f>IF(P48&lt;MinCash,"Alerta","OK")</f>
        <v/>
      </c>
      <c r="Q49" s="61">
        <f>IF(Q48&lt;MinCash,"Alerta","OK")</f>
        <v/>
      </c>
      <c r="R49" s="61">
        <f>IF(R48&lt;MinCash,"Alerta","OK")</f>
        <v/>
      </c>
      <c r="S49" s="61">
        <f>IF(S48&lt;MinCash,"Alerta","OK")</f>
        <v/>
      </c>
      <c r="T49" s="61">
        <f>IF(T48&lt;MinCash,"Alerta","OK")</f>
        <v/>
      </c>
      <c r="U49" s="61">
        <f>IF(U48&lt;MinCash,"Alerta","OK")</f>
        <v/>
      </c>
      <c r="V49" s="61">
        <f>IF(V48&lt;MinCash,"Alerta","OK")</f>
        <v/>
      </c>
      <c r="W49" s="61">
        <f>IF(W48&lt;MinCash,"Alerta","OK")</f>
        <v/>
      </c>
      <c r="X49" s="61">
        <f>IF(X48&lt;MinCash,"Alerta","OK")</f>
        <v/>
      </c>
      <c r="Y49" s="61">
        <f>IF(Y48&lt;MinCash,"Alerta","OK")</f>
        <v/>
      </c>
      <c r="Z49" s="61">
        <f>IF(Z48&lt;MinCash,"Alerta","OK")</f>
        <v/>
      </c>
      <c r="AA49" s="61">
        <f>IF(AA48&lt;MinCash,"Alerta","OK")</f>
        <v/>
      </c>
      <c r="AB49" s="61">
        <f>IF(AB48&lt;MinCash,"Alerta","OK")</f>
        <v/>
      </c>
      <c r="AC49" s="61">
        <f>IF(AC48&lt;MinCash,"Alerta","OK")</f>
        <v/>
      </c>
      <c r="AD49" s="61">
        <f>IF(AD48&lt;MinCash,"Alerta","OK")</f>
        <v/>
      </c>
      <c r="AE49" s="61">
        <f>IF(AE48&lt;MinCash,"Alerta","OK")</f>
        <v/>
      </c>
      <c r="AF49" s="61">
        <f>IF(AF48&lt;MinCash,"Alerta","OK")</f>
        <v/>
      </c>
      <c r="AG49" s="61">
        <f>IF(AG48&lt;MinCash,"Alerta","OK")</f>
        <v/>
      </c>
      <c r="AH49" s="61">
        <f>IF(AH48&lt;MinCash,"Alerta","OK")</f>
        <v/>
      </c>
      <c r="AI49" s="61">
        <f>IF(AI48&lt;MinCash,"Alerta","OK")</f>
        <v/>
      </c>
      <c r="AJ49" s="61">
        <f>IF(AJ48&lt;MinCash,"Alerta","OK")</f>
        <v/>
      </c>
      <c r="AK49" s="61">
        <f>IF(AK48&lt;MinCash,"Alerta","OK")</f>
        <v/>
      </c>
      <c r="AL49" s="61">
        <f>IF(AL48&lt;MinCash,"Alerta","OK")</f>
        <v/>
      </c>
    </row>
    <row r="50">
      <c r="A50" s="6" t="inlineStr">
        <is>
          <t>Check caja (debe ser 0)</t>
        </is>
      </c>
      <c r="B50" s="24" t="inlineStr">
        <is>
          <t>€</t>
        </is>
      </c>
      <c r="C50" s="60">
        <f>C38+C47-C48</f>
        <v/>
      </c>
      <c r="D50" s="60">
        <f>D38+D47-D48</f>
        <v/>
      </c>
      <c r="E50" s="60">
        <f>E38+E47-E48</f>
        <v/>
      </c>
      <c r="F50" s="60">
        <f>F38+F47-F48</f>
        <v/>
      </c>
      <c r="G50" s="60">
        <f>G38+G47-G48</f>
        <v/>
      </c>
      <c r="H50" s="60">
        <f>H38+H47-H48</f>
        <v/>
      </c>
      <c r="I50" s="60">
        <f>I38+I47-I48</f>
        <v/>
      </c>
      <c r="J50" s="60">
        <f>J38+J47-J48</f>
        <v/>
      </c>
      <c r="K50" s="60">
        <f>K38+K47-K48</f>
        <v/>
      </c>
      <c r="L50" s="60">
        <f>L38+L47-L48</f>
        <v/>
      </c>
      <c r="M50" s="60">
        <f>M38+M47-M48</f>
        <v/>
      </c>
      <c r="N50" s="60">
        <f>N38+N47-N48</f>
        <v/>
      </c>
      <c r="O50" s="60">
        <f>O38+O47-O48</f>
        <v/>
      </c>
      <c r="P50" s="60">
        <f>P38+P47-P48</f>
        <v/>
      </c>
      <c r="Q50" s="60">
        <f>Q38+Q47-Q48</f>
        <v/>
      </c>
      <c r="R50" s="60">
        <f>R38+R47-R48</f>
        <v/>
      </c>
      <c r="S50" s="60">
        <f>S38+S47-S48</f>
        <v/>
      </c>
      <c r="T50" s="60">
        <f>T38+T47-T48</f>
        <v/>
      </c>
      <c r="U50" s="60">
        <f>U38+U47-U48</f>
        <v/>
      </c>
      <c r="V50" s="60">
        <f>V38+V47-V48</f>
        <v/>
      </c>
      <c r="W50" s="60">
        <f>W38+W47-W48</f>
        <v/>
      </c>
      <c r="X50" s="60">
        <f>X38+X47-X48</f>
        <v/>
      </c>
      <c r="Y50" s="60">
        <f>Y38+Y47-Y48</f>
        <v/>
      </c>
      <c r="Z50" s="60">
        <f>Z38+Z47-Z48</f>
        <v/>
      </c>
      <c r="AA50" s="60">
        <f>AA38+AA47-AA48</f>
        <v/>
      </c>
      <c r="AB50" s="60">
        <f>AB38+AB47-AB48</f>
        <v/>
      </c>
      <c r="AC50" s="60">
        <f>AC38+AC47-AC48</f>
        <v/>
      </c>
      <c r="AD50" s="60">
        <f>AD38+AD47-AD48</f>
        <v/>
      </c>
      <c r="AE50" s="60">
        <f>AE38+AE47-AE48</f>
        <v/>
      </c>
      <c r="AF50" s="60">
        <f>AF38+AF47-AF48</f>
        <v/>
      </c>
      <c r="AG50" s="60">
        <f>AG38+AG47-AG48</f>
        <v/>
      </c>
      <c r="AH50" s="60">
        <f>AH38+AH47-AH48</f>
        <v/>
      </c>
      <c r="AI50" s="60">
        <f>AI38+AI47-AI48</f>
        <v/>
      </c>
      <c r="AJ50" s="60">
        <f>AJ38+AJ47-AJ48</f>
        <v/>
      </c>
      <c r="AK50" s="60">
        <f>AK38+AK47-AK48</f>
        <v/>
      </c>
      <c r="AL50" s="60">
        <f>AL38+AL47-AL48</f>
        <v/>
      </c>
      <c r="AM50" s="60">
        <f>SUM(C50:N50)</f>
        <v/>
      </c>
      <c r="AN50" s="60">
        <f>SUM(O50:Z50)</f>
        <v/>
      </c>
      <c r="AO50" s="60">
        <f>SUM(AA50:AL50)</f>
        <v/>
      </c>
      <c r="AP50" s="60">
        <f>SUM(AM50:AO50)</f>
        <v/>
      </c>
    </row>
    <row r="51" ht="20" customHeight="1">
      <c r="A51" s="16" t="inlineStr">
        <is>
          <t>CALENDARIO DE DEUDA</t>
        </is>
      </c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</row>
    <row r="52">
      <c r="A52" s="6" t="inlineStr">
        <is>
          <t>Deuda inicial</t>
        </is>
      </c>
      <c r="B52" s="24" t="inlineStr">
        <is>
          <t>€</t>
        </is>
      </c>
      <c r="C52" s="60">
        <f>LoanAmount</f>
        <v/>
      </c>
      <c r="D52" s="60">
        <f>C55</f>
        <v/>
      </c>
      <c r="E52" s="60">
        <f>D55</f>
        <v/>
      </c>
      <c r="F52" s="60">
        <f>E55</f>
        <v/>
      </c>
      <c r="G52" s="60">
        <f>F55</f>
        <v/>
      </c>
      <c r="H52" s="60">
        <f>G55</f>
        <v/>
      </c>
      <c r="I52" s="60">
        <f>H55</f>
        <v/>
      </c>
      <c r="J52" s="60">
        <f>I55</f>
        <v/>
      </c>
      <c r="K52" s="60">
        <f>J55</f>
        <v/>
      </c>
      <c r="L52" s="60">
        <f>K55</f>
        <v/>
      </c>
      <c r="M52" s="60">
        <f>L55</f>
        <v/>
      </c>
      <c r="N52" s="60">
        <f>M55</f>
        <v/>
      </c>
      <c r="O52" s="60">
        <f>N55</f>
        <v/>
      </c>
      <c r="P52" s="60">
        <f>O55</f>
        <v/>
      </c>
      <c r="Q52" s="60">
        <f>P55</f>
        <v/>
      </c>
      <c r="R52" s="60">
        <f>Q55</f>
        <v/>
      </c>
      <c r="S52" s="60">
        <f>R55</f>
        <v/>
      </c>
      <c r="T52" s="60">
        <f>S55</f>
        <v/>
      </c>
      <c r="U52" s="60">
        <f>T55</f>
        <v/>
      </c>
      <c r="V52" s="60">
        <f>U55</f>
        <v/>
      </c>
      <c r="W52" s="60">
        <f>V55</f>
        <v/>
      </c>
      <c r="X52" s="60">
        <f>W55</f>
        <v/>
      </c>
      <c r="Y52" s="60">
        <f>X55</f>
        <v/>
      </c>
      <c r="Z52" s="60">
        <f>Y55</f>
        <v/>
      </c>
      <c r="AA52" s="60">
        <f>Z55</f>
        <v/>
      </c>
      <c r="AB52" s="60">
        <f>AA55</f>
        <v/>
      </c>
      <c r="AC52" s="60">
        <f>AB55</f>
        <v/>
      </c>
      <c r="AD52" s="60">
        <f>AC55</f>
        <v/>
      </c>
      <c r="AE52" s="60">
        <f>AD55</f>
        <v/>
      </c>
      <c r="AF52" s="60">
        <f>AE55</f>
        <v/>
      </c>
      <c r="AG52" s="60">
        <f>AF55</f>
        <v/>
      </c>
      <c r="AH52" s="60">
        <f>AG55</f>
        <v/>
      </c>
      <c r="AI52" s="60">
        <f>AH55</f>
        <v/>
      </c>
      <c r="AJ52" s="60">
        <f>AI55</f>
        <v/>
      </c>
      <c r="AK52" s="60">
        <f>AJ55</f>
        <v/>
      </c>
      <c r="AL52" s="60">
        <f>AK55</f>
        <v/>
      </c>
      <c r="AM52" s="60">
        <f>N52</f>
        <v/>
      </c>
      <c r="AN52" s="60">
        <f>Z52</f>
        <v/>
      </c>
      <c r="AO52" s="60">
        <f>AL52</f>
        <v/>
      </c>
      <c r="AP52" s="60">
        <f>AO52</f>
        <v/>
      </c>
    </row>
    <row r="53">
      <c r="A53" s="6" t="inlineStr">
        <is>
          <t>Intereses</t>
        </is>
      </c>
      <c r="B53" s="24" t="inlineStr">
        <is>
          <t>€</t>
        </is>
      </c>
      <c r="C53" s="60">
        <f>C52*LoanRate/12</f>
        <v/>
      </c>
      <c r="D53" s="60">
        <f>D52*LoanRate/12</f>
        <v/>
      </c>
      <c r="E53" s="60">
        <f>E52*LoanRate/12</f>
        <v/>
      </c>
      <c r="F53" s="60">
        <f>F52*LoanRate/12</f>
        <v/>
      </c>
      <c r="G53" s="60">
        <f>G52*LoanRate/12</f>
        <v/>
      </c>
      <c r="H53" s="60">
        <f>H52*LoanRate/12</f>
        <v/>
      </c>
      <c r="I53" s="60">
        <f>I52*LoanRate/12</f>
        <v/>
      </c>
      <c r="J53" s="60">
        <f>J52*LoanRate/12</f>
        <v/>
      </c>
      <c r="K53" s="60">
        <f>K52*LoanRate/12</f>
        <v/>
      </c>
      <c r="L53" s="60">
        <f>L52*LoanRate/12</f>
        <v/>
      </c>
      <c r="M53" s="60">
        <f>M52*LoanRate/12</f>
        <v/>
      </c>
      <c r="N53" s="60">
        <f>N52*LoanRate/12</f>
        <v/>
      </c>
      <c r="O53" s="60">
        <f>O52*LoanRate/12</f>
        <v/>
      </c>
      <c r="P53" s="60">
        <f>P52*LoanRate/12</f>
        <v/>
      </c>
      <c r="Q53" s="60">
        <f>Q52*LoanRate/12</f>
        <v/>
      </c>
      <c r="R53" s="60">
        <f>R52*LoanRate/12</f>
        <v/>
      </c>
      <c r="S53" s="60">
        <f>S52*LoanRate/12</f>
        <v/>
      </c>
      <c r="T53" s="60">
        <f>T52*LoanRate/12</f>
        <v/>
      </c>
      <c r="U53" s="60">
        <f>U52*LoanRate/12</f>
        <v/>
      </c>
      <c r="V53" s="60">
        <f>V52*LoanRate/12</f>
        <v/>
      </c>
      <c r="W53" s="60">
        <f>W52*LoanRate/12</f>
        <v/>
      </c>
      <c r="X53" s="60">
        <f>X52*LoanRate/12</f>
        <v/>
      </c>
      <c r="Y53" s="60">
        <f>Y52*LoanRate/12</f>
        <v/>
      </c>
      <c r="Z53" s="60">
        <f>Z52*LoanRate/12</f>
        <v/>
      </c>
      <c r="AA53" s="60">
        <f>AA52*LoanRate/12</f>
        <v/>
      </c>
      <c r="AB53" s="60">
        <f>AB52*LoanRate/12</f>
        <v/>
      </c>
      <c r="AC53" s="60">
        <f>AC52*LoanRate/12</f>
        <v/>
      </c>
      <c r="AD53" s="60">
        <f>AD52*LoanRate/12</f>
        <v/>
      </c>
      <c r="AE53" s="60">
        <f>AE52*LoanRate/12</f>
        <v/>
      </c>
      <c r="AF53" s="60">
        <f>AF52*LoanRate/12</f>
        <v/>
      </c>
      <c r="AG53" s="60">
        <f>AG52*LoanRate/12</f>
        <v/>
      </c>
      <c r="AH53" s="60">
        <f>AH52*LoanRate/12</f>
        <v/>
      </c>
      <c r="AI53" s="60">
        <f>AI52*LoanRate/12</f>
        <v/>
      </c>
      <c r="AJ53" s="60">
        <f>AJ52*LoanRate/12</f>
        <v/>
      </c>
      <c r="AK53" s="60">
        <f>AK52*LoanRate/12</f>
        <v/>
      </c>
      <c r="AL53" s="60">
        <f>AL52*LoanRate/12</f>
        <v/>
      </c>
      <c r="AM53" s="60">
        <f>SUM(C53:N53)</f>
        <v/>
      </c>
      <c r="AN53" s="60">
        <f>SUM(O53:Z53)</f>
        <v/>
      </c>
      <c r="AO53" s="60">
        <f>SUM(AA53:AL53)</f>
        <v/>
      </c>
      <c r="AP53" s="60">
        <f>SUM(AM53:AO53)</f>
        <v/>
      </c>
    </row>
    <row r="54">
      <c r="A54" s="6" t="inlineStr">
        <is>
          <t>Principal</t>
        </is>
      </c>
      <c r="B54" s="24" t="inlineStr">
        <is>
          <t>€</t>
        </is>
      </c>
      <c r="C54" s="60">
        <f>MIN(LoanPayment-C53,C52)</f>
        <v/>
      </c>
      <c r="D54" s="60">
        <f>MIN(LoanPayment-D53,D52)</f>
        <v/>
      </c>
      <c r="E54" s="60">
        <f>MIN(LoanPayment-E53,E52)</f>
        <v/>
      </c>
      <c r="F54" s="60">
        <f>MIN(LoanPayment-F53,F52)</f>
        <v/>
      </c>
      <c r="G54" s="60">
        <f>MIN(LoanPayment-G53,G52)</f>
        <v/>
      </c>
      <c r="H54" s="60">
        <f>MIN(LoanPayment-H53,H52)</f>
        <v/>
      </c>
      <c r="I54" s="60">
        <f>MIN(LoanPayment-I53,I52)</f>
        <v/>
      </c>
      <c r="J54" s="60">
        <f>MIN(LoanPayment-J53,J52)</f>
        <v/>
      </c>
      <c r="K54" s="60">
        <f>MIN(LoanPayment-K53,K52)</f>
        <v/>
      </c>
      <c r="L54" s="60">
        <f>MIN(LoanPayment-L53,L52)</f>
        <v/>
      </c>
      <c r="M54" s="60">
        <f>MIN(LoanPayment-M53,M52)</f>
        <v/>
      </c>
      <c r="N54" s="60">
        <f>MIN(LoanPayment-N53,N52)</f>
        <v/>
      </c>
      <c r="O54" s="60">
        <f>MIN(LoanPayment-O53,O52)</f>
        <v/>
      </c>
      <c r="P54" s="60">
        <f>MIN(LoanPayment-P53,P52)</f>
        <v/>
      </c>
      <c r="Q54" s="60">
        <f>MIN(LoanPayment-Q53,Q52)</f>
        <v/>
      </c>
      <c r="R54" s="60">
        <f>MIN(LoanPayment-R53,R52)</f>
        <v/>
      </c>
      <c r="S54" s="60">
        <f>MIN(LoanPayment-S53,S52)</f>
        <v/>
      </c>
      <c r="T54" s="60">
        <f>MIN(LoanPayment-T53,T52)</f>
        <v/>
      </c>
      <c r="U54" s="60">
        <f>MIN(LoanPayment-U53,U52)</f>
        <v/>
      </c>
      <c r="V54" s="60">
        <f>MIN(LoanPayment-V53,V52)</f>
        <v/>
      </c>
      <c r="W54" s="60">
        <f>MIN(LoanPayment-W53,W52)</f>
        <v/>
      </c>
      <c r="X54" s="60">
        <f>MIN(LoanPayment-X53,X52)</f>
        <v/>
      </c>
      <c r="Y54" s="60">
        <f>MIN(LoanPayment-Y53,Y52)</f>
        <v/>
      </c>
      <c r="Z54" s="60">
        <f>MIN(LoanPayment-Z53,Z52)</f>
        <v/>
      </c>
      <c r="AA54" s="60">
        <f>MIN(LoanPayment-AA53,AA52)</f>
        <v/>
      </c>
      <c r="AB54" s="60">
        <f>MIN(LoanPayment-AB53,AB52)</f>
        <v/>
      </c>
      <c r="AC54" s="60">
        <f>MIN(LoanPayment-AC53,AC52)</f>
        <v/>
      </c>
      <c r="AD54" s="60">
        <f>MIN(LoanPayment-AD53,AD52)</f>
        <v/>
      </c>
      <c r="AE54" s="60">
        <f>MIN(LoanPayment-AE53,AE52)</f>
        <v/>
      </c>
      <c r="AF54" s="60">
        <f>MIN(LoanPayment-AF53,AF52)</f>
        <v/>
      </c>
      <c r="AG54" s="60">
        <f>MIN(LoanPayment-AG53,AG52)</f>
        <v/>
      </c>
      <c r="AH54" s="60">
        <f>MIN(LoanPayment-AH53,AH52)</f>
        <v/>
      </c>
      <c r="AI54" s="60">
        <f>MIN(LoanPayment-AI53,AI52)</f>
        <v/>
      </c>
      <c r="AJ54" s="60">
        <f>MIN(LoanPayment-AJ53,AJ52)</f>
        <v/>
      </c>
      <c r="AK54" s="60">
        <f>MIN(LoanPayment-AK53,AK52)</f>
        <v/>
      </c>
      <c r="AL54" s="60">
        <f>MIN(LoanPayment-AL53,AL52)</f>
        <v/>
      </c>
      <c r="AM54" s="60">
        <f>SUM(C54:N54)</f>
        <v/>
      </c>
      <c r="AN54" s="60">
        <f>SUM(O54:Z54)</f>
        <v/>
      </c>
      <c r="AO54" s="60">
        <f>SUM(AA54:AL54)</f>
        <v/>
      </c>
      <c r="AP54" s="60">
        <f>SUM(AM54:AO54)</f>
        <v/>
      </c>
    </row>
    <row r="55">
      <c r="A55" s="6" t="inlineStr">
        <is>
          <t>Deuda final</t>
        </is>
      </c>
      <c r="B55" s="24" t="inlineStr">
        <is>
          <t>€</t>
        </is>
      </c>
      <c r="C55" s="59">
        <f>C52-C54</f>
        <v/>
      </c>
      <c r="D55" s="59">
        <f>D52-D54</f>
        <v/>
      </c>
      <c r="E55" s="59">
        <f>E52-E54</f>
        <v/>
      </c>
      <c r="F55" s="59">
        <f>F52-F54</f>
        <v/>
      </c>
      <c r="G55" s="59">
        <f>G52-G54</f>
        <v/>
      </c>
      <c r="H55" s="59">
        <f>H52-H54</f>
        <v/>
      </c>
      <c r="I55" s="59">
        <f>I52-I54</f>
        <v/>
      </c>
      <c r="J55" s="59">
        <f>J52-J54</f>
        <v/>
      </c>
      <c r="K55" s="59">
        <f>K52-K54</f>
        <v/>
      </c>
      <c r="L55" s="59">
        <f>L52-L54</f>
        <v/>
      </c>
      <c r="M55" s="59">
        <f>M52-M54</f>
        <v/>
      </c>
      <c r="N55" s="59">
        <f>N52-N54</f>
        <v/>
      </c>
      <c r="O55" s="59">
        <f>O52-O54</f>
        <v/>
      </c>
      <c r="P55" s="59">
        <f>P52-P54</f>
        <v/>
      </c>
      <c r="Q55" s="59">
        <f>Q52-Q54</f>
        <v/>
      </c>
      <c r="R55" s="59">
        <f>R52-R54</f>
        <v/>
      </c>
      <c r="S55" s="59">
        <f>S52-S54</f>
        <v/>
      </c>
      <c r="T55" s="59">
        <f>T52-T54</f>
        <v/>
      </c>
      <c r="U55" s="59">
        <f>U52-U54</f>
        <v/>
      </c>
      <c r="V55" s="59">
        <f>V52-V54</f>
        <v/>
      </c>
      <c r="W55" s="59">
        <f>W52-W54</f>
        <v/>
      </c>
      <c r="X55" s="59">
        <f>X52-X54</f>
        <v/>
      </c>
      <c r="Y55" s="59">
        <f>Y52-Y54</f>
        <v/>
      </c>
      <c r="Z55" s="59">
        <f>Z52-Z54</f>
        <v/>
      </c>
      <c r="AA55" s="59">
        <f>AA52-AA54</f>
        <v/>
      </c>
      <c r="AB55" s="59">
        <f>AB52-AB54</f>
        <v/>
      </c>
      <c r="AC55" s="59">
        <f>AC52-AC54</f>
        <v/>
      </c>
      <c r="AD55" s="59">
        <f>AD52-AD54</f>
        <v/>
      </c>
      <c r="AE55" s="59">
        <f>AE52-AE54</f>
        <v/>
      </c>
      <c r="AF55" s="59">
        <f>AF52-AF54</f>
        <v/>
      </c>
      <c r="AG55" s="59">
        <f>AG52-AG54</f>
        <v/>
      </c>
      <c r="AH55" s="59">
        <f>AH52-AH54</f>
        <v/>
      </c>
      <c r="AI55" s="59">
        <f>AI52-AI54</f>
        <v/>
      </c>
      <c r="AJ55" s="59">
        <f>AJ52-AJ54</f>
        <v/>
      </c>
      <c r="AK55" s="59">
        <f>AK52-AK54</f>
        <v/>
      </c>
      <c r="AL55" s="59">
        <f>AL52-AL54</f>
        <v/>
      </c>
      <c r="AM55" s="59">
        <f>N55</f>
        <v/>
      </c>
      <c r="AN55" s="59">
        <f>Z55</f>
        <v/>
      </c>
      <c r="AO55" s="59">
        <f>AL55</f>
        <v/>
      </c>
      <c r="AP55" s="59">
        <f>AO55</f>
        <v/>
      </c>
    </row>
    <row r="56">
      <c r="A56" s="6" t="inlineStr">
        <is>
          <t>Cuota</t>
        </is>
      </c>
      <c r="B56" s="24" t="inlineStr">
        <is>
          <t>€</t>
        </is>
      </c>
      <c r="C56" s="60">
        <f>LoanPayment</f>
        <v/>
      </c>
      <c r="D56" s="60">
        <f>LoanPayment</f>
        <v/>
      </c>
      <c r="E56" s="60">
        <f>LoanPayment</f>
        <v/>
      </c>
      <c r="F56" s="60">
        <f>LoanPayment</f>
        <v/>
      </c>
      <c r="G56" s="60">
        <f>LoanPayment</f>
        <v/>
      </c>
      <c r="H56" s="60">
        <f>LoanPayment</f>
        <v/>
      </c>
      <c r="I56" s="60">
        <f>LoanPayment</f>
        <v/>
      </c>
      <c r="J56" s="60">
        <f>LoanPayment</f>
        <v/>
      </c>
      <c r="K56" s="60">
        <f>LoanPayment</f>
        <v/>
      </c>
      <c r="L56" s="60">
        <f>LoanPayment</f>
        <v/>
      </c>
      <c r="M56" s="60">
        <f>LoanPayment</f>
        <v/>
      </c>
      <c r="N56" s="60">
        <f>LoanPayment</f>
        <v/>
      </c>
      <c r="O56" s="60">
        <f>LoanPayment</f>
        <v/>
      </c>
      <c r="P56" s="60">
        <f>LoanPayment</f>
        <v/>
      </c>
      <c r="Q56" s="60">
        <f>LoanPayment</f>
        <v/>
      </c>
      <c r="R56" s="60">
        <f>LoanPayment</f>
        <v/>
      </c>
      <c r="S56" s="60">
        <f>LoanPayment</f>
        <v/>
      </c>
      <c r="T56" s="60">
        <f>LoanPayment</f>
        <v/>
      </c>
      <c r="U56" s="60">
        <f>LoanPayment</f>
        <v/>
      </c>
      <c r="V56" s="60">
        <f>LoanPayment</f>
        <v/>
      </c>
      <c r="W56" s="60">
        <f>LoanPayment</f>
        <v/>
      </c>
      <c r="X56" s="60">
        <f>LoanPayment</f>
        <v/>
      </c>
      <c r="Y56" s="60">
        <f>LoanPayment</f>
        <v/>
      </c>
      <c r="Z56" s="60">
        <f>LoanPayment</f>
        <v/>
      </c>
      <c r="AA56" s="60">
        <f>LoanPayment</f>
        <v/>
      </c>
      <c r="AB56" s="60">
        <f>LoanPayment</f>
        <v/>
      </c>
      <c r="AC56" s="60">
        <f>LoanPayment</f>
        <v/>
      </c>
      <c r="AD56" s="60">
        <f>LoanPayment</f>
        <v/>
      </c>
      <c r="AE56" s="60">
        <f>LoanPayment</f>
        <v/>
      </c>
      <c r="AF56" s="60">
        <f>LoanPayment</f>
        <v/>
      </c>
      <c r="AG56" s="60">
        <f>LoanPayment</f>
        <v/>
      </c>
      <c r="AH56" s="60">
        <f>LoanPayment</f>
        <v/>
      </c>
      <c r="AI56" s="60">
        <f>LoanPayment</f>
        <v/>
      </c>
      <c r="AJ56" s="60">
        <f>LoanPayment</f>
        <v/>
      </c>
      <c r="AK56" s="60">
        <f>LoanPayment</f>
        <v/>
      </c>
      <c r="AL56" s="60">
        <f>LoanPayment</f>
        <v/>
      </c>
      <c r="AM56" s="60">
        <f>SUM(C56:N56)</f>
        <v/>
      </c>
      <c r="AN56" s="60">
        <f>SUM(O56:Z56)</f>
        <v/>
      </c>
      <c r="AO56" s="60">
        <f>SUM(AA56:AL56)</f>
        <v/>
      </c>
      <c r="AP56" s="60">
        <f>SUM(AM56:AO56)</f>
        <v/>
      </c>
    </row>
    <row r="57">
      <c r="A57" s="6" t="inlineStr">
        <is>
          <t>DSCR</t>
        </is>
      </c>
      <c r="B57" s="24" t="inlineStr">
        <is>
          <t>×</t>
        </is>
      </c>
      <c r="C57" s="62">
        <f>IFERROR((C26-C31)/(C53+C54),0)</f>
        <v/>
      </c>
      <c r="D57" s="62">
        <f>IFERROR((D26-D31)/(D53+D54),0)</f>
        <v/>
      </c>
      <c r="E57" s="62">
        <f>IFERROR((E26-E31)/(E53+E54),0)</f>
        <v/>
      </c>
      <c r="F57" s="62">
        <f>IFERROR((F26-F31)/(F53+F54),0)</f>
        <v/>
      </c>
      <c r="G57" s="62">
        <f>IFERROR((G26-G31)/(G53+G54),0)</f>
        <v/>
      </c>
      <c r="H57" s="62">
        <f>IFERROR((H26-H31)/(H53+H54),0)</f>
        <v/>
      </c>
      <c r="I57" s="62">
        <f>IFERROR((I26-I31)/(I53+I54),0)</f>
        <v/>
      </c>
      <c r="J57" s="62">
        <f>IFERROR((J26-J31)/(J53+J54),0)</f>
        <v/>
      </c>
      <c r="K57" s="62">
        <f>IFERROR((K26-K31)/(K53+K54),0)</f>
        <v/>
      </c>
      <c r="L57" s="62">
        <f>IFERROR((L26-L31)/(L53+L54),0)</f>
        <v/>
      </c>
      <c r="M57" s="62">
        <f>IFERROR((M26-M31)/(M53+M54),0)</f>
        <v/>
      </c>
      <c r="N57" s="62">
        <f>IFERROR((N26-N31)/(N53+N54),0)</f>
        <v/>
      </c>
      <c r="O57" s="62">
        <f>IFERROR((O26-O31)/(O53+O54),0)</f>
        <v/>
      </c>
      <c r="P57" s="62">
        <f>IFERROR((P26-P31)/(P53+P54),0)</f>
        <v/>
      </c>
      <c r="Q57" s="62">
        <f>IFERROR((Q26-Q31)/(Q53+Q54),0)</f>
        <v/>
      </c>
      <c r="R57" s="62">
        <f>IFERROR((R26-R31)/(R53+R54),0)</f>
        <v/>
      </c>
      <c r="S57" s="62">
        <f>IFERROR((S26-S31)/(S53+S54),0)</f>
        <v/>
      </c>
      <c r="T57" s="62">
        <f>IFERROR((T26-T31)/(T53+T54),0)</f>
        <v/>
      </c>
      <c r="U57" s="62">
        <f>IFERROR((U26-U31)/(U53+U54),0)</f>
        <v/>
      </c>
      <c r="V57" s="62">
        <f>IFERROR((V26-V31)/(V53+V54),0)</f>
        <v/>
      </c>
      <c r="W57" s="62">
        <f>IFERROR((W26-W31)/(W53+W54),0)</f>
        <v/>
      </c>
      <c r="X57" s="62">
        <f>IFERROR((X26-X31)/(X53+X54),0)</f>
        <v/>
      </c>
      <c r="Y57" s="62">
        <f>IFERROR((Y26-Y31)/(Y53+Y54),0)</f>
        <v/>
      </c>
      <c r="Z57" s="62">
        <f>IFERROR((Z26-Z31)/(Z53+Z54),0)</f>
        <v/>
      </c>
      <c r="AA57" s="62">
        <f>IFERROR((AA26-AA31)/(AA53+AA54),0)</f>
        <v/>
      </c>
      <c r="AB57" s="62">
        <f>IFERROR((AB26-AB31)/(AB53+AB54),0)</f>
        <v/>
      </c>
      <c r="AC57" s="62">
        <f>IFERROR((AC26-AC31)/(AC53+AC54),0)</f>
        <v/>
      </c>
      <c r="AD57" s="62">
        <f>IFERROR((AD26-AD31)/(AD53+AD54),0)</f>
        <v/>
      </c>
      <c r="AE57" s="62">
        <f>IFERROR((AE26-AE31)/(AE53+AE54),0)</f>
        <v/>
      </c>
      <c r="AF57" s="62">
        <f>IFERROR((AF26-AF31)/(AF53+AF54),0)</f>
        <v/>
      </c>
      <c r="AG57" s="62">
        <f>IFERROR((AG26-AG31)/(AG53+AG54),0)</f>
        <v/>
      </c>
      <c r="AH57" s="62">
        <f>IFERROR((AH26-AH31)/(AH53+AH54),0)</f>
        <v/>
      </c>
      <c r="AI57" s="62">
        <f>IFERROR((AI26-AI31)/(AI53+AI54),0)</f>
        <v/>
      </c>
      <c r="AJ57" s="62">
        <f>IFERROR((AJ26-AJ31)/(AJ53+AJ54),0)</f>
        <v/>
      </c>
      <c r="AK57" s="62">
        <f>IFERROR((AK26-AK31)/(AK53+AK54),0)</f>
        <v/>
      </c>
      <c r="AL57" s="62">
        <f>IFERROR((AL26-AL31)/(AL53+AL54),0)</f>
        <v/>
      </c>
      <c r="AM57" s="63">
        <f>IFERROR((AM26-AM31)/(AM53+AM54),0)</f>
        <v/>
      </c>
      <c r="AN57" s="63">
        <f>IFERROR((AN26-AN31)/(AN53+AN54),0)</f>
        <v/>
      </c>
      <c r="AO57" s="63">
        <f>IFERROR((AO26-AO31)/(AO53+AO54),0)</f>
        <v/>
      </c>
      <c r="AP57" s="63">
        <f>IFERROR((AP26-AP31)/(AP53+AP54),0)</f>
        <v/>
      </c>
    </row>
    <row r="58" ht="20" customHeight="1">
      <c r="A58" s="16" t="inlineStr">
        <is>
          <t>IMPUESTO ANUAL Y PÉRDIDAS COMPENSABLES</t>
        </is>
      </c>
      <c r="B58" s="17" t="n"/>
      <c r="C58" s="17" t="n"/>
      <c r="D58" s="17" t="n"/>
    </row>
    <row r="59">
      <c r="A59" s="23" t="inlineStr">
        <is>
          <t>Concepto</t>
        </is>
      </c>
      <c r="B59" s="23" t="inlineStr">
        <is>
          <t>2026</t>
        </is>
      </c>
      <c r="C59" s="23" t="inlineStr">
        <is>
          <t>2027</t>
        </is>
      </c>
      <c r="D59" s="23" t="inlineStr">
        <is>
          <t>2028</t>
        </is>
      </c>
      <c r="E59" s="28" t="inlineStr">
        <is>
          <t>La cuota mensual de la fila 31 es la cuota anual / 12.</t>
        </is>
      </c>
    </row>
    <row r="60">
      <c r="A60" s="30" t="inlineStr">
        <is>
          <t>EBT anual</t>
        </is>
      </c>
      <c r="B60" s="36">
        <f>AM30</f>
        <v/>
      </c>
      <c r="C60" s="36">
        <f>AN30</f>
        <v/>
      </c>
      <c r="D60" s="36">
        <f>AO30</f>
        <v/>
      </c>
    </row>
    <row r="61">
      <c r="A61" s="30" t="inlineStr">
        <is>
          <t>Pérdidas inicio (con deuda)</t>
        </is>
      </c>
      <c r="B61" s="36" t="n">
        <v>0</v>
      </c>
      <c r="C61" s="36">
        <f>B64</f>
        <v/>
      </c>
      <c r="D61" s="36">
        <f>C64</f>
        <v/>
      </c>
    </row>
    <row r="62">
      <c r="A62" s="30" t="inlineStr">
        <is>
          <t>Base imponible</t>
        </is>
      </c>
      <c r="B62" s="36">
        <f>MAX(0,B60-B61)</f>
        <v/>
      </c>
      <c r="C62" s="36">
        <f>MAX(0,C60-C61)</f>
        <v/>
      </c>
      <c r="D62" s="36">
        <f>MAX(0,D60-D61)</f>
        <v/>
      </c>
    </row>
    <row r="63">
      <c r="A63" s="30" t="inlineStr">
        <is>
          <t>Cuota</t>
        </is>
      </c>
      <c r="B63" s="36">
        <f>B62*TaxRate</f>
        <v/>
      </c>
      <c r="C63" s="36">
        <f>C62*TaxRate</f>
        <v/>
      </c>
      <c r="D63" s="36">
        <f>D62*TaxRate</f>
        <v/>
      </c>
    </row>
    <row r="64">
      <c r="A64" s="30" t="inlineStr">
        <is>
          <t>Pérdidas fin</t>
        </is>
      </c>
      <c r="B64" s="36">
        <f>B61-MIN(B61,MAX(0,B60))+MAX(0,-B60)</f>
        <v/>
      </c>
      <c r="C64" s="36">
        <f>C61-MIN(C61,MAX(0,C60))+MAX(0,-C60)</f>
        <v/>
      </c>
      <c r="D64" s="36">
        <f>D61-MIN(D61,MAX(0,D60))+MAX(0,-D60)</f>
        <v/>
      </c>
    </row>
    <row r="65">
      <c r="A65" s="30" t="inlineStr">
        <is>
          <t>EBIT anual</t>
        </is>
      </c>
      <c r="B65" s="36">
        <f>AM28</f>
        <v/>
      </c>
      <c r="C65" s="36">
        <f>AN28</f>
        <v/>
      </c>
      <c r="D65" s="36">
        <f>AO28</f>
        <v/>
      </c>
    </row>
    <row r="66">
      <c r="A66" s="30" t="inlineStr">
        <is>
          <t>Pérdidas inicio (sin deuda)</t>
        </is>
      </c>
      <c r="B66" s="36" t="n">
        <v>0</v>
      </c>
      <c r="C66" s="36">
        <f>B69</f>
        <v/>
      </c>
      <c r="D66" s="36">
        <f>C69</f>
        <v/>
      </c>
    </row>
    <row r="67">
      <c r="A67" s="30" t="inlineStr">
        <is>
          <t>Base imponible sin deuda</t>
        </is>
      </c>
      <c r="B67" s="36">
        <f>MAX(0,B65-B66)</f>
        <v/>
      </c>
      <c r="C67" s="36">
        <f>MAX(0,C65-C66)</f>
        <v/>
      </c>
      <c r="D67" s="36">
        <f>MAX(0,D65-D66)</f>
        <v/>
      </c>
    </row>
    <row r="68">
      <c r="A68" s="30" t="inlineStr">
        <is>
          <t>Cuota sin deuda</t>
        </is>
      </c>
      <c r="B68" s="36">
        <f>B67*TaxRate</f>
        <v/>
      </c>
      <c r="C68" s="36">
        <f>C67*TaxRate</f>
        <v/>
      </c>
      <c r="D68" s="36">
        <f>D67*TaxRate</f>
        <v/>
      </c>
    </row>
    <row r="69">
      <c r="A69" s="30" t="inlineStr">
        <is>
          <t>Pérdidas fin (sin deuda)</t>
        </is>
      </c>
      <c r="B69" s="36">
        <f>B66-MIN(B66,MAX(0,B65))+MAX(0,-B65)</f>
        <v/>
      </c>
      <c r="C69" s="36">
        <f>C66-MIN(C66,MAX(0,C65))+MAX(0,-C65)</f>
        <v/>
      </c>
      <c r="D69" s="36">
        <f>D66-MIN(D66,MAX(0,D65))+MAX(0,-D65)</f>
        <v/>
      </c>
    </row>
    <row r="70">
      <c r="A70" s="30" t="inlineStr">
        <is>
          <t>Escudo fiscal</t>
        </is>
      </c>
      <c r="B70" s="36">
        <f>B68-B63</f>
        <v/>
      </c>
      <c r="C70" s="36">
        <f>C68-C63</f>
        <v/>
      </c>
      <c r="D70" s="36">
        <f>D68-D63</f>
        <v/>
      </c>
    </row>
    <row r="74" ht="20" customHeight="1">
      <c r="A74" s="16" t="inlineStr">
        <is>
          <t>RESUMEN ANUAL</t>
        </is>
      </c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17" t="n"/>
      <c r="AL74" s="17" t="n"/>
      <c r="AM74" s="17" t="n"/>
      <c r="AN74" s="17" t="n"/>
      <c r="AO74" s="17" t="n"/>
      <c r="AP74" s="17" t="n"/>
    </row>
    <row r="75">
      <c r="A75" s="23" t="inlineStr">
        <is>
          <t>Métrica</t>
        </is>
      </c>
      <c r="B75" s="23" t="inlineStr">
        <is>
          <t>2026</t>
        </is>
      </c>
      <c r="C75" s="23" t="inlineStr">
        <is>
          <t>2027</t>
        </is>
      </c>
      <c r="D75" s="23" t="inlineStr">
        <is>
          <t>2028</t>
        </is>
      </c>
      <c r="E75" s="23" t="inlineStr">
        <is>
          <t>3 años</t>
        </is>
      </c>
    </row>
    <row r="76">
      <c r="A76" s="30" t="inlineStr">
        <is>
          <t>Ingresos netos</t>
        </is>
      </c>
      <c r="B76" s="36">
        <f>AM15</f>
        <v/>
      </c>
      <c r="C76" s="36">
        <f>AN15</f>
        <v/>
      </c>
      <c r="D76" s="36">
        <f>AO15</f>
        <v/>
      </c>
      <c r="E76" s="36">
        <f>SUM(B76:D76)</f>
        <v/>
      </c>
    </row>
    <row r="77">
      <c r="A77" s="30" t="inlineStr">
        <is>
          <t>COGS</t>
        </is>
      </c>
      <c r="B77" s="36">
        <f>AM16</f>
        <v/>
      </c>
      <c r="C77" s="36">
        <f>AN16</f>
        <v/>
      </c>
      <c r="D77" s="36">
        <f>AO16</f>
        <v/>
      </c>
      <c r="E77" s="36">
        <f>SUM(B77:D77)</f>
        <v/>
      </c>
    </row>
    <row r="78">
      <c r="A78" s="30" t="inlineStr">
        <is>
          <t>Margen bruto</t>
        </is>
      </c>
      <c r="B78" s="36">
        <f>AM17</f>
        <v/>
      </c>
      <c r="C78" s="36">
        <f>AN17</f>
        <v/>
      </c>
      <c r="D78" s="36">
        <f>AO17</f>
        <v/>
      </c>
      <c r="E78" s="36">
        <f>SUM(B78:D78)</f>
        <v/>
      </c>
    </row>
    <row r="79">
      <c r="A79" s="30" t="inlineStr">
        <is>
          <t>Personal</t>
        </is>
      </c>
      <c r="B79" s="36">
        <f>AM18</f>
        <v/>
      </c>
      <c r="C79" s="36">
        <f>AN18</f>
        <v/>
      </c>
      <c r="D79" s="36">
        <f>AO18</f>
        <v/>
      </c>
      <c r="E79" s="36">
        <f>SUM(B79:D79)</f>
        <v/>
      </c>
    </row>
    <row r="80">
      <c r="A80" s="30" t="inlineStr">
        <is>
          <t>Alquiler</t>
        </is>
      </c>
      <c r="B80" s="36">
        <f>AM19</f>
        <v/>
      </c>
      <c r="C80" s="36">
        <f>AN19</f>
        <v/>
      </c>
      <c r="D80" s="36">
        <f>AO19</f>
        <v/>
      </c>
      <c r="E80" s="36">
        <f>SUM(B80:D80)</f>
        <v/>
      </c>
    </row>
    <row r="81">
      <c r="A81" s="30" t="inlineStr">
        <is>
          <t>Suministros</t>
        </is>
      </c>
      <c r="B81" s="36">
        <f>AM20</f>
        <v/>
      </c>
      <c r="C81" s="36">
        <f>AN20</f>
        <v/>
      </c>
      <c r="D81" s="36">
        <f>AO20</f>
        <v/>
      </c>
      <c r="E81" s="36">
        <f>SUM(B81:D81)</f>
        <v/>
      </c>
    </row>
    <row r="82">
      <c r="A82" s="30" t="inlineStr">
        <is>
          <t>Servicios fijos</t>
        </is>
      </c>
      <c r="B82" s="36">
        <f>AM21</f>
        <v/>
      </c>
      <c r="C82" s="36">
        <f>AN21</f>
        <v/>
      </c>
      <c r="D82" s="36">
        <f>AO21</f>
        <v/>
      </c>
      <c r="E82" s="36">
        <f>SUM(B82:D82)</f>
        <v/>
      </c>
    </row>
    <row r="83">
      <c r="A83" s="30" t="inlineStr">
        <is>
          <t>Marketing fijo</t>
        </is>
      </c>
      <c r="B83" s="36">
        <f>AM22</f>
        <v/>
      </c>
      <c r="C83" s="36">
        <f>AN22</f>
        <v/>
      </c>
      <c r="D83" s="36">
        <f>AO22</f>
        <v/>
      </c>
      <c r="E83" s="36">
        <f>SUM(B83:D83)</f>
        <v/>
      </c>
    </row>
    <row r="84">
      <c r="A84" s="30" t="inlineStr">
        <is>
          <t>Marketing variable</t>
        </is>
      </c>
      <c r="B84" s="36">
        <f>AM23</f>
        <v/>
      </c>
      <c r="C84" s="36">
        <f>AN23</f>
        <v/>
      </c>
      <c r="D84" s="36">
        <f>AO23</f>
        <v/>
      </c>
      <c r="E84" s="36">
        <f>SUM(B84:D84)</f>
        <v/>
      </c>
    </row>
    <row r="85">
      <c r="A85" s="30" t="inlineStr">
        <is>
          <t>Otros gastos</t>
        </is>
      </c>
      <c r="B85" s="36">
        <f>AM24</f>
        <v/>
      </c>
      <c r="C85" s="36">
        <f>AN24</f>
        <v/>
      </c>
      <c r="D85" s="36">
        <f>AO24</f>
        <v/>
      </c>
      <c r="E85" s="36">
        <f>SUM(B85:D85)</f>
        <v/>
      </c>
    </row>
    <row r="86">
      <c r="A86" s="30" t="inlineStr">
        <is>
          <t>EBITDA</t>
        </is>
      </c>
      <c r="B86" s="36">
        <f>AM26</f>
        <v/>
      </c>
      <c r="C86" s="36">
        <f>AN26</f>
        <v/>
      </c>
      <c r="D86" s="36">
        <f>AO26</f>
        <v/>
      </c>
      <c r="E86" s="36">
        <f>SUM(B86:D86)</f>
        <v/>
      </c>
    </row>
    <row r="87">
      <c r="A87" s="30" t="inlineStr">
        <is>
          <t>Amortización</t>
        </is>
      </c>
      <c r="B87" s="36">
        <f>AM27</f>
        <v/>
      </c>
      <c r="C87" s="36">
        <f>AN27</f>
        <v/>
      </c>
      <c r="D87" s="36">
        <f>AO27</f>
        <v/>
      </c>
      <c r="E87" s="36">
        <f>SUM(B87:D87)</f>
        <v/>
      </c>
    </row>
    <row r="88">
      <c r="A88" s="30" t="inlineStr">
        <is>
          <t>EBIT</t>
        </is>
      </c>
      <c r="B88" s="36">
        <f>AM28</f>
        <v/>
      </c>
      <c r="C88" s="36">
        <f>AN28</f>
        <v/>
      </c>
      <c r="D88" s="36">
        <f>AO28</f>
        <v/>
      </c>
      <c r="E88" s="36">
        <f>SUM(B88:D88)</f>
        <v/>
      </c>
    </row>
    <row r="89">
      <c r="A89" s="30" t="inlineStr">
        <is>
          <t>Intereses</t>
        </is>
      </c>
      <c r="B89" s="36">
        <f>AM29</f>
        <v/>
      </c>
      <c r="C89" s="36">
        <f>AN29</f>
        <v/>
      </c>
      <c r="D89" s="36">
        <f>AO29</f>
        <v/>
      </c>
      <c r="E89" s="36">
        <f>SUM(B89:D89)</f>
        <v/>
      </c>
    </row>
    <row r="90">
      <c r="A90" s="30" t="inlineStr">
        <is>
          <t>EBT</t>
        </is>
      </c>
      <c r="B90" s="36">
        <f>AM30</f>
        <v/>
      </c>
      <c r="C90" s="36">
        <f>AN30</f>
        <v/>
      </c>
      <c r="D90" s="36">
        <f>AO30</f>
        <v/>
      </c>
      <c r="E90" s="36">
        <f>SUM(B90:D90)</f>
        <v/>
      </c>
    </row>
    <row r="91">
      <c r="A91" s="30" t="inlineStr">
        <is>
          <t>Impuestos</t>
        </is>
      </c>
      <c r="B91" s="36">
        <f>AM31</f>
        <v/>
      </c>
      <c r="C91" s="36">
        <f>AN31</f>
        <v/>
      </c>
      <c r="D91" s="36">
        <f>AO31</f>
        <v/>
      </c>
      <c r="E91" s="36">
        <f>SUM(B91:D91)</f>
        <v/>
      </c>
    </row>
    <row r="92">
      <c r="A92" s="30" t="inlineStr">
        <is>
          <t>Beneficio neto</t>
        </is>
      </c>
      <c r="B92" s="36">
        <f>AM32</f>
        <v/>
      </c>
      <c r="C92" s="36">
        <f>AN32</f>
        <v/>
      </c>
      <c r="D92" s="36">
        <f>AO32</f>
        <v/>
      </c>
      <c r="E92" s="36">
        <f>SUM(B92:D92)</f>
        <v/>
      </c>
    </row>
    <row r="93">
      <c r="A93" s="30" t="inlineStr">
        <is>
          <t>CFO</t>
        </is>
      </c>
      <c r="B93" s="36">
        <f>B92+B87-AM40</f>
        <v/>
      </c>
      <c r="C93" s="36">
        <f>C92+C87-AN40</f>
        <v/>
      </c>
      <c r="D93" s="36">
        <f>D92+D87-AO40</f>
        <v/>
      </c>
      <c r="E93" s="36">
        <f>SUM(B93:D93)</f>
        <v/>
      </c>
    </row>
    <row r="94">
      <c r="A94" s="30" t="inlineStr">
        <is>
          <t>Capex mantenimiento</t>
        </is>
      </c>
      <c r="B94" s="36">
        <f>AM41</f>
        <v/>
      </c>
      <c r="C94" s="36">
        <f>AN41</f>
        <v/>
      </c>
      <c r="D94" s="36">
        <f>AO41</f>
        <v/>
      </c>
      <c r="E94" s="36">
        <f>SUM(B94:D94)</f>
        <v/>
      </c>
    </row>
    <row r="95">
      <c r="A95" s="30" t="inlineStr">
        <is>
          <t>FCFF</t>
        </is>
      </c>
      <c r="B95" s="36">
        <f>AM43</f>
        <v/>
      </c>
      <c r="C95" s="36">
        <f>AN43</f>
        <v/>
      </c>
      <c r="D95" s="36">
        <f>AO43</f>
        <v/>
      </c>
      <c r="E95" s="36">
        <f>SUM(B95:D95)</f>
        <v/>
      </c>
    </row>
    <row r="96">
      <c r="A96" s="30" t="inlineStr">
        <is>
          <t>Principal</t>
        </is>
      </c>
      <c r="B96" s="36">
        <f>AM46</f>
        <v/>
      </c>
      <c r="C96" s="36">
        <f>AN46</f>
        <v/>
      </c>
      <c r="D96" s="36">
        <f>AO46</f>
        <v/>
      </c>
      <c r="E96" s="36">
        <f>SUM(B96:D96)</f>
        <v/>
      </c>
    </row>
    <row r="97">
      <c r="A97" s="30" t="inlineStr">
        <is>
          <t>FCFE</t>
        </is>
      </c>
      <c r="B97" s="36">
        <f>AM47</f>
        <v/>
      </c>
      <c r="C97" s="36">
        <f>AN47</f>
        <v/>
      </c>
      <c r="D97" s="36">
        <f>AO47</f>
        <v/>
      </c>
      <c r="E97" s="36">
        <f>SUM(B97:D97)</f>
        <v/>
      </c>
    </row>
    <row r="98">
      <c r="A98" s="30" t="inlineStr">
        <is>
          <t>Caja final</t>
        </is>
      </c>
      <c r="B98" s="36">
        <f>N48</f>
        <v/>
      </c>
      <c r="C98" s="36">
        <f>Z48</f>
        <v/>
      </c>
      <c r="D98" s="36">
        <f>AL48</f>
        <v/>
      </c>
      <c r="E98" s="36">
        <f>D98</f>
        <v/>
      </c>
    </row>
    <row r="99">
      <c r="A99" s="30" t="inlineStr">
        <is>
          <t>Tickets/día</t>
        </is>
      </c>
      <c r="B99" s="64">
        <f>AM13/AM9</f>
        <v/>
      </c>
      <c r="C99" s="64">
        <f>AN13/AN9</f>
        <v/>
      </c>
      <c r="D99" s="64">
        <f>AO13/AO9</f>
        <v/>
      </c>
      <c r="E99" s="64">
        <f>SUM(B99:D99)/3</f>
        <v/>
      </c>
    </row>
    <row r="100">
      <c r="A100" s="30" t="inlineStr">
        <is>
          <t>Ticket medio neto</t>
        </is>
      </c>
      <c r="B100" s="52">
        <f>B76/AM13</f>
        <v/>
      </c>
      <c r="C100" s="52">
        <f>C76/AN13</f>
        <v/>
      </c>
      <c r="D100" s="52">
        <f>D76/AO13</f>
        <v/>
      </c>
      <c r="E100" s="52">
        <f>E76/SUM(AM13:AO13)</f>
        <v/>
      </c>
    </row>
    <row r="101">
      <c r="A101" s="30" t="inlineStr">
        <is>
          <t>Ticket medio con IVA</t>
        </is>
      </c>
      <c r="B101" s="52">
        <f>B100*1.1</f>
        <v/>
      </c>
      <c r="C101" s="52">
        <f>C100*1.1</f>
        <v/>
      </c>
      <c r="D101" s="52">
        <f>D100*1.1</f>
        <v/>
      </c>
      <c r="E101" s="52">
        <f>E100*1.1</f>
        <v/>
      </c>
    </row>
    <row r="102">
      <c r="A102" s="30" t="inlineStr">
        <is>
          <t>Punto de equilibrio EBITDA</t>
        </is>
      </c>
      <c r="B102" s="64">
        <f>(B79+B80+B81+B82+B83+B85)/((B76-B77-B84)/AM13)/AM9</f>
        <v/>
      </c>
      <c r="C102" s="64">
        <f>(C79+C80+C81+C82+C83+C85)/((C76-C77-C84)/AN13)/AN9</f>
        <v/>
      </c>
      <c r="D102" s="64">
        <f>(D79+D80+D81+D82+D83+D85)/((D76-D77-D84)/AO13)/AO9</f>
        <v/>
      </c>
    </row>
    <row r="103">
      <c r="A103" s="30" t="inlineStr">
        <is>
          <t>Punto de equilibrio total</t>
        </is>
      </c>
      <c r="B103" s="64">
        <f>(B79+B80+B81+B82+B83+B85+B87+B89)/((B76-B77-B84)/AM13)/AM9</f>
        <v/>
      </c>
      <c r="C103" s="64">
        <f>(C79+C80+C81+C82+C83+C85+C87+C89)/((C76-C77-C84)/AN13)/AN9</f>
        <v/>
      </c>
      <c r="D103" s="64">
        <f>(D79+D80+D81+D82+D83+D85+D87+D89)/((D76-D77-D84)/AO13)/AO9</f>
        <v/>
      </c>
    </row>
    <row r="104">
      <c r="A104" s="30" t="inlineStr">
        <is>
          <t>Margen de seguridad</t>
        </is>
      </c>
      <c r="B104" s="34">
        <f>(B99-B103)/B99</f>
        <v/>
      </c>
      <c r="C104" s="34">
        <f>(C99-C103)/C99</f>
        <v/>
      </c>
      <c r="D104" s="34">
        <f>(D99-D103)/D99</f>
        <v/>
      </c>
    </row>
    <row r="105">
      <c r="A105" s="30" t="inlineStr">
        <is>
          <t>DSCR</t>
        </is>
      </c>
      <c r="B105" s="63">
        <f>(B86-B91)/(B89+B96)</f>
        <v/>
      </c>
      <c r="C105" s="63">
        <f>(C86-C91)/(C89+C96)</f>
        <v/>
      </c>
      <c r="D105" s="63">
        <f>(D86-D91)/(D89+D96)</f>
        <v/>
      </c>
    </row>
    <row r="106">
      <c r="A106" t="inlineStr">
        <is>
          <t>Cash-on-cash</t>
        </is>
      </c>
      <c r="B106" s="34">
        <f>AL110/Equity</f>
        <v/>
      </c>
      <c r="C106" s="28" t="inlineStr">
        <is>
          <t>FCFE acumulado a 36 meses / equity</t>
        </is>
      </c>
    </row>
    <row r="107">
      <c r="A107" s="28" t="inlineStr">
        <is>
          <t>Margen de seguridad = (tickets/día previstos − BE total) / tickets/día previstos.</t>
        </is>
      </c>
    </row>
    <row r="108" ht="20" customHeight="1">
      <c r="A108" s="16" t="inlineStr">
        <is>
          <t>PAYBACK</t>
        </is>
      </c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  <c r="AF108" s="17" t="n"/>
      <c r="AG108" s="17" t="n"/>
      <c r="AH108" s="17" t="n"/>
      <c r="AI108" s="17" t="n"/>
      <c r="AJ108" s="17" t="n"/>
      <c r="AK108" s="17" t="n"/>
      <c r="AL108" s="17" t="n"/>
      <c r="AM108" s="17" t="n"/>
      <c r="AN108" s="17" t="n"/>
      <c r="AO108" s="17" t="n"/>
      <c r="AP108" s="17" t="n"/>
    </row>
    <row r="109">
      <c r="A109" s="6" t="inlineStr">
        <is>
          <t>FCFF acumulado</t>
        </is>
      </c>
      <c r="B109" s="24" t="inlineStr">
        <is>
          <t>€</t>
        </is>
      </c>
      <c r="C109" s="36">
        <f>C43</f>
        <v/>
      </c>
      <c r="D109" s="36">
        <f>C109+D43</f>
        <v/>
      </c>
      <c r="E109" s="36">
        <f>D109+E43</f>
        <v/>
      </c>
      <c r="F109" s="36">
        <f>E109+F43</f>
        <v/>
      </c>
      <c r="G109" s="36">
        <f>F109+G43</f>
        <v/>
      </c>
      <c r="H109" s="36">
        <f>G109+H43</f>
        <v/>
      </c>
      <c r="I109" s="36">
        <f>H109+I43</f>
        <v/>
      </c>
      <c r="J109" s="36">
        <f>I109+J43</f>
        <v/>
      </c>
      <c r="K109" s="36">
        <f>J109+K43</f>
        <v/>
      </c>
      <c r="L109" s="36">
        <f>K109+L43</f>
        <v/>
      </c>
      <c r="M109" s="36">
        <f>L109+M43</f>
        <v/>
      </c>
      <c r="N109" s="36">
        <f>M109+N43</f>
        <v/>
      </c>
      <c r="O109" s="36">
        <f>N109+O43</f>
        <v/>
      </c>
      <c r="P109" s="36">
        <f>O109+P43</f>
        <v/>
      </c>
      <c r="Q109" s="36">
        <f>P109+Q43</f>
        <v/>
      </c>
      <c r="R109" s="36">
        <f>Q109+R43</f>
        <v/>
      </c>
      <c r="S109" s="36">
        <f>R109+S43</f>
        <v/>
      </c>
      <c r="T109" s="36">
        <f>S109+T43</f>
        <v/>
      </c>
      <c r="U109" s="36">
        <f>T109+U43</f>
        <v/>
      </c>
      <c r="V109" s="36">
        <f>U109+V43</f>
        <v/>
      </c>
      <c r="W109" s="36">
        <f>V109+W43</f>
        <v/>
      </c>
      <c r="X109" s="36">
        <f>W109+X43</f>
        <v/>
      </c>
      <c r="Y109" s="36">
        <f>X109+Y43</f>
        <v/>
      </c>
      <c r="Z109" s="36">
        <f>Y109+Z43</f>
        <v/>
      </c>
      <c r="AA109" s="36">
        <f>Z109+AA43</f>
        <v/>
      </c>
      <c r="AB109" s="36">
        <f>AA109+AB43</f>
        <v/>
      </c>
      <c r="AC109" s="36">
        <f>AB109+AC43</f>
        <v/>
      </c>
      <c r="AD109" s="36">
        <f>AC109+AD43</f>
        <v/>
      </c>
      <c r="AE109" s="36">
        <f>AD109+AE43</f>
        <v/>
      </c>
      <c r="AF109" s="36">
        <f>AE109+AF43</f>
        <v/>
      </c>
      <c r="AG109" s="36">
        <f>AF109+AG43</f>
        <v/>
      </c>
      <c r="AH109" s="36">
        <f>AG109+AH43</f>
        <v/>
      </c>
      <c r="AI109" s="36">
        <f>AH109+AI43</f>
        <v/>
      </c>
      <c r="AJ109" s="36">
        <f>AI109+AJ43</f>
        <v/>
      </c>
      <c r="AK109" s="36">
        <f>AJ109+AK43</f>
        <v/>
      </c>
      <c r="AL109" s="36">
        <f>AK109+AL43</f>
        <v/>
      </c>
    </row>
    <row r="110">
      <c r="A110" s="6" t="inlineStr">
        <is>
          <t>FCFE acumulado</t>
        </is>
      </c>
      <c r="B110" s="24" t="inlineStr">
        <is>
          <t>€</t>
        </is>
      </c>
      <c r="C110" s="36">
        <f>C47</f>
        <v/>
      </c>
      <c r="D110" s="36">
        <f>C110+D47</f>
        <v/>
      </c>
      <c r="E110" s="36">
        <f>D110+E47</f>
        <v/>
      </c>
      <c r="F110" s="36">
        <f>E110+F47</f>
        <v/>
      </c>
      <c r="G110" s="36">
        <f>F110+G47</f>
        <v/>
      </c>
      <c r="H110" s="36">
        <f>G110+H47</f>
        <v/>
      </c>
      <c r="I110" s="36">
        <f>H110+I47</f>
        <v/>
      </c>
      <c r="J110" s="36">
        <f>I110+J47</f>
        <v/>
      </c>
      <c r="K110" s="36">
        <f>J110+K47</f>
        <v/>
      </c>
      <c r="L110" s="36">
        <f>K110+L47</f>
        <v/>
      </c>
      <c r="M110" s="36">
        <f>L110+M47</f>
        <v/>
      </c>
      <c r="N110" s="36">
        <f>M110+N47</f>
        <v/>
      </c>
      <c r="O110" s="36">
        <f>N110+O47</f>
        <v/>
      </c>
      <c r="P110" s="36">
        <f>O110+P47</f>
        <v/>
      </c>
      <c r="Q110" s="36">
        <f>P110+Q47</f>
        <v/>
      </c>
      <c r="R110" s="36">
        <f>Q110+R47</f>
        <v/>
      </c>
      <c r="S110" s="36">
        <f>R110+S47</f>
        <v/>
      </c>
      <c r="T110" s="36">
        <f>S110+T47</f>
        <v/>
      </c>
      <c r="U110" s="36">
        <f>T110+U47</f>
        <v/>
      </c>
      <c r="V110" s="36">
        <f>U110+V47</f>
        <v/>
      </c>
      <c r="W110" s="36">
        <f>V110+W47</f>
        <v/>
      </c>
      <c r="X110" s="36">
        <f>W110+X47</f>
        <v/>
      </c>
      <c r="Y110" s="36">
        <f>X110+Y47</f>
        <v/>
      </c>
      <c r="Z110" s="36">
        <f>Y110+Z47</f>
        <v/>
      </c>
      <c r="AA110" s="36">
        <f>Z110+AA47</f>
        <v/>
      </c>
      <c r="AB110" s="36">
        <f>AA110+AB47</f>
        <v/>
      </c>
      <c r="AC110" s="36">
        <f>AB110+AC47</f>
        <v/>
      </c>
      <c r="AD110" s="36">
        <f>AC110+AD47</f>
        <v/>
      </c>
      <c r="AE110" s="36">
        <f>AD110+AE47</f>
        <v/>
      </c>
      <c r="AF110" s="36">
        <f>AE110+AF47</f>
        <v/>
      </c>
      <c r="AG110" s="36">
        <f>AF110+AG47</f>
        <v/>
      </c>
      <c r="AH110" s="36">
        <f>AG110+AH47</f>
        <v/>
      </c>
      <c r="AI110" s="36">
        <f>AH110+AI47</f>
        <v/>
      </c>
      <c r="AJ110" s="36">
        <f>AI110+AJ47</f>
        <v/>
      </c>
      <c r="AK110" s="36">
        <f>AJ110+AK47</f>
        <v/>
      </c>
      <c r="AL110" s="36">
        <f>AK110+AL47</f>
        <v/>
      </c>
    </row>
    <row r="111">
      <c r="A111" s="6" t="inlineStr">
        <is>
          <t>Flag payback proyecto</t>
        </is>
      </c>
      <c r="B111" s="24" t="inlineStr">
        <is>
          <t>mes</t>
        </is>
      </c>
      <c r="C111" s="37">
        <f>IF(C109&gt;=TotalCapex+WC0,C5,999)</f>
        <v/>
      </c>
      <c r="D111" s="37">
        <f>IF(D109&gt;=TotalCapex+WC0,D5,999)</f>
        <v/>
      </c>
      <c r="E111" s="37">
        <f>IF(E109&gt;=TotalCapex+WC0,E5,999)</f>
        <v/>
      </c>
      <c r="F111" s="37">
        <f>IF(F109&gt;=TotalCapex+WC0,F5,999)</f>
        <v/>
      </c>
      <c r="G111" s="37">
        <f>IF(G109&gt;=TotalCapex+WC0,G5,999)</f>
        <v/>
      </c>
      <c r="H111" s="37">
        <f>IF(H109&gt;=TotalCapex+WC0,H5,999)</f>
        <v/>
      </c>
      <c r="I111" s="37">
        <f>IF(I109&gt;=TotalCapex+WC0,I5,999)</f>
        <v/>
      </c>
      <c r="J111" s="37">
        <f>IF(J109&gt;=TotalCapex+WC0,J5,999)</f>
        <v/>
      </c>
      <c r="K111" s="37">
        <f>IF(K109&gt;=TotalCapex+WC0,K5,999)</f>
        <v/>
      </c>
      <c r="L111" s="37">
        <f>IF(L109&gt;=TotalCapex+WC0,L5,999)</f>
        <v/>
      </c>
      <c r="M111" s="37">
        <f>IF(M109&gt;=TotalCapex+WC0,M5,999)</f>
        <v/>
      </c>
      <c r="N111" s="37">
        <f>IF(N109&gt;=TotalCapex+WC0,N5,999)</f>
        <v/>
      </c>
      <c r="O111" s="37">
        <f>IF(O109&gt;=TotalCapex+WC0,O5,999)</f>
        <v/>
      </c>
      <c r="P111" s="37">
        <f>IF(P109&gt;=TotalCapex+WC0,P5,999)</f>
        <v/>
      </c>
      <c r="Q111" s="37">
        <f>IF(Q109&gt;=TotalCapex+WC0,Q5,999)</f>
        <v/>
      </c>
      <c r="R111" s="37">
        <f>IF(R109&gt;=TotalCapex+WC0,R5,999)</f>
        <v/>
      </c>
      <c r="S111" s="37">
        <f>IF(S109&gt;=TotalCapex+WC0,S5,999)</f>
        <v/>
      </c>
      <c r="T111" s="37">
        <f>IF(T109&gt;=TotalCapex+WC0,T5,999)</f>
        <v/>
      </c>
      <c r="U111" s="37">
        <f>IF(U109&gt;=TotalCapex+WC0,U5,999)</f>
        <v/>
      </c>
      <c r="V111" s="37">
        <f>IF(V109&gt;=TotalCapex+WC0,V5,999)</f>
        <v/>
      </c>
      <c r="W111" s="37">
        <f>IF(W109&gt;=TotalCapex+WC0,W5,999)</f>
        <v/>
      </c>
      <c r="X111" s="37">
        <f>IF(X109&gt;=TotalCapex+WC0,X5,999)</f>
        <v/>
      </c>
      <c r="Y111" s="37">
        <f>IF(Y109&gt;=TotalCapex+WC0,Y5,999)</f>
        <v/>
      </c>
      <c r="Z111" s="37">
        <f>IF(Z109&gt;=TotalCapex+WC0,Z5,999)</f>
        <v/>
      </c>
      <c r="AA111" s="37">
        <f>IF(AA109&gt;=TotalCapex+WC0,AA5,999)</f>
        <v/>
      </c>
      <c r="AB111" s="37">
        <f>IF(AB109&gt;=TotalCapex+WC0,AB5,999)</f>
        <v/>
      </c>
      <c r="AC111" s="37">
        <f>IF(AC109&gt;=TotalCapex+WC0,AC5,999)</f>
        <v/>
      </c>
      <c r="AD111" s="37">
        <f>IF(AD109&gt;=TotalCapex+WC0,AD5,999)</f>
        <v/>
      </c>
      <c r="AE111" s="37">
        <f>IF(AE109&gt;=TotalCapex+WC0,AE5,999)</f>
        <v/>
      </c>
      <c r="AF111" s="37">
        <f>IF(AF109&gt;=TotalCapex+WC0,AF5,999)</f>
        <v/>
      </c>
      <c r="AG111" s="37">
        <f>IF(AG109&gt;=TotalCapex+WC0,AG5,999)</f>
        <v/>
      </c>
      <c r="AH111" s="37">
        <f>IF(AH109&gt;=TotalCapex+WC0,AH5,999)</f>
        <v/>
      </c>
      <c r="AI111" s="37">
        <f>IF(AI109&gt;=TotalCapex+WC0,AI5,999)</f>
        <v/>
      </c>
      <c r="AJ111" s="37">
        <f>IF(AJ109&gt;=TotalCapex+WC0,AJ5,999)</f>
        <v/>
      </c>
      <c r="AK111" s="37">
        <f>IF(AK109&gt;=TotalCapex+WC0,AK5,999)</f>
        <v/>
      </c>
      <c r="AL111" s="37">
        <f>IF(AL109&gt;=TotalCapex+WC0,AL5,999)</f>
        <v/>
      </c>
    </row>
    <row r="112">
      <c r="A112" s="6" t="inlineStr">
        <is>
          <t>Flag payback equity</t>
        </is>
      </c>
      <c r="B112" s="24" t="inlineStr">
        <is>
          <t>mes</t>
        </is>
      </c>
      <c r="C112" s="37">
        <f>IF(C110&gt;=Equity,C5,999)</f>
        <v/>
      </c>
      <c r="D112" s="37">
        <f>IF(D110&gt;=Equity,D5,999)</f>
        <v/>
      </c>
      <c r="E112" s="37">
        <f>IF(E110&gt;=Equity,E5,999)</f>
        <v/>
      </c>
      <c r="F112" s="37">
        <f>IF(F110&gt;=Equity,F5,999)</f>
        <v/>
      </c>
      <c r="G112" s="37">
        <f>IF(G110&gt;=Equity,G5,999)</f>
        <v/>
      </c>
      <c r="H112" s="37">
        <f>IF(H110&gt;=Equity,H5,999)</f>
        <v/>
      </c>
      <c r="I112" s="37">
        <f>IF(I110&gt;=Equity,I5,999)</f>
        <v/>
      </c>
      <c r="J112" s="37">
        <f>IF(J110&gt;=Equity,J5,999)</f>
        <v/>
      </c>
      <c r="K112" s="37">
        <f>IF(K110&gt;=Equity,K5,999)</f>
        <v/>
      </c>
      <c r="L112" s="37">
        <f>IF(L110&gt;=Equity,L5,999)</f>
        <v/>
      </c>
      <c r="M112" s="37">
        <f>IF(M110&gt;=Equity,M5,999)</f>
        <v/>
      </c>
      <c r="N112" s="37">
        <f>IF(N110&gt;=Equity,N5,999)</f>
        <v/>
      </c>
      <c r="O112" s="37">
        <f>IF(O110&gt;=Equity,O5,999)</f>
        <v/>
      </c>
      <c r="P112" s="37">
        <f>IF(P110&gt;=Equity,P5,999)</f>
        <v/>
      </c>
      <c r="Q112" s="37">
        <f>IF(Q110&gt;=Equity,Q5,999)</f>
        <v/>
      </c>
      <c r="R112" s="37">
        <f>IF(R110&gt;=Equity,R5,999)</f>
        <v/>
      </c>
      <c r="S112" s="37">
        <f>IF(S110&gt;=Equity,S5,999)</f>
        <v/>
      </c>
      <c r="T112" s="37">
        <f>IF(T110&gt;=Equity,T5,999)</f>
        <v/>
      </c>
      <c r="U112" s="37">
        <f>IF(U110&gt;=Equity,U5,999)</f>
        <v/>
      </c>
      <c r="V112" s="37">
        <f>IF(V110&gt;=Equity,V5,999)</f>
        <v/>
      </c>
      <c r="W112" s="37">
        <f>IF(W110&gt;=Equity,W5,999)</f>
        <v/>
      </c>
      <c r="X112" s="37">
        <f>IF(X110&gt;=Equity,X5,999)</f>
        <v/>
      </c>
      <c r="Y112" s="37">
        <f>IF(Y110&gt;=Equity,Y5,999)</f>
        <v/>
      </c>
      <c r="Z112" s="37">
        <f>IF(Z110&gt;=Equity,Z5,999)</f>
        <v/>
      </c>
      <c r="AA112" s="37">
        <f>IF(AA110&gt;=Equity,AA5,999)</f>
        <v/>
      </c>
      <c r="AB112" s="37">
        <f>IF(AB110&gt;=Equity,AB5,999)</f>
        <v/>
      </c>
      <c r="AC112" s="37">
        <f>IF(AC110&gt;=Equity,AC5,999)</f>
        <v/>
      </c>
      <c r="AD112" s="37">
        <f>IF(AD110&gt;=Equity,AD5,999)</f>
        <v/>
      </c>
      <c r="AE112" s="37">
        <f>IF(AE110&gt;=Equity,AE5,999)</f>
        <v/>
      </c>
      <c r="AF112" s="37">
        <f>IF(AF110&gt;=Equity,AF5,999)</f>
        <v/>
      </c>
      <c r="AG112" s="37">
        <f>IF(AG110&gt;=Equity,AG5,999)</f>
        <v/>
      </c>
      <c r="AH112" s="37">
        <f>IF(AH110&gt;=Equity,AH5,999)</f>
        <v/>
      </c>
      <c r="AI112" s="37">
        <f>IF(AI110&gt;=Equity,AI5,999)</f>
        <v/>
      </c>
      <c r="AJ112" s="37">
        <f>IF(AJ110&gt;=Equity,AJ5,999)</f>
        <v/>
      </c>
      <c r="AK112" s="37">
        <f>IF(AK110&gt;=Equity,AK5,999)</f>
        <v/>
      </c>
      <c r="AL112" s="37">
        <f>IF(AL110&gt;=Equity,AL5,999)</f>
        <v/>
      </c>
    </row>
    <row r="113">
      <c r="A113" t="inlineStr">
        <is>
          <t>Payback proyecto (meses)</t>
        </is>
      </c>
      <c r="B113" s="65">
        <f>IF(MIN(C111:AL111)=999,"&gt;36",MIN(C111:AL111))</f>
        <v/>
      </c>
      <c r="C113" s="28" t="inlineStr">
        <is>
          <t>Recuperación del proyecto: capex 132.000 € + capital circulante inicial 6.500 €.</t>
        </is>
      </c>
    </row>
    <row r="114">
      <c r="A114" t="inlineStr">
        <is>
          <t>Payback equity (meses)</t>
        </is>
      </c>
      <c r="B114" s="65">
        <f>IF(MIN(C112:AL112)=999,"&gt;36",MIN(C112:AL112))</f>
        <v/>
      </c>
      <c r="C114" s="28" t="inlineStr">
        <is>
          <t>Recuperación del accionista: equity aportado 90.000 €.</t>
        </is>
      </c>
    </row>
    <row r="116" ht="20" customHeight="1">
      <c r="A116" s="16" t="inlineStr">
        <is>
          <t>RENTABILIDAD POR PRODUCTO</t>
        </is>
      </c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7" t="n"/>
      <c r="AG116" s="17" t="n"/>
      <c r="AH116" s="17" t="n"/>
      <c r="AI116" s="17" t="n"/>
      <c r="AJ116" s="17" t="n"/>
      <c r="AK116" s="17" t="n"/>
      <c r="AL116" s="17" t="n"/>
      <c r="AM116" s="17" t="n"/>
      <c r="AN116" s="17" t="n"/>
      <c r="AO116" s="17" t="n"/>
      <c r="AP116" s="17" t="n"/>
    </row>
    <row r="117">
      <c r="A117" s="23" t="inlineStr">
        <is>
          <t>Producto — 2026</t>
        </is>
      </c>
      <c r="B117" s="23" t="inlineStr">
        <is>
          <t>Unidades</t>
        </is>
      </c>
      <c r="C117" s="23" t="inlineStr">
        <is>
          <t>Ingresos</t>
        </is>
      </c>
      <c r="D117" s="23" t="inlineStr">
        <is>
          <t>COGS</t>
        </is>
      </c>
      <c r="E117" s="23" t="inlineStr">
        <is>
          <t>Margen bruto</t>
        </is>
      </c>
      <c r="F117" s="23" t="inlineStr">
        <is>
          <t>Margen %</t>
        </is>
      </c>
    </row>
    <row r="118">
      <c r="A118" t="inlineStr">
        <is>
          <t>Espresso</t>
        </is>
      </c>
      <c r="B118" s="27">
        <f>$AM$14*Productos!$H5</f>
        <v/>
      </c>
      <c r="C118" s="36">
        <f>B118*Productos!$F5</f>
        <v/>
      </c>
      <c r="D118" s="36">
        <f>B118*Productos!$J5</f>
        <v/>
      </c>
      <c r="E118" s="36">
        <f>C118-D118</f>
        <v/>
      </c>
      <c r="F118" s="34">
        <f>IFERROR(E118/C118,0)</f>
        <v/>
      </c>
    </row>
    <row r="119">
      <c r="A119" t="inlineStr">
        <is>
          <t>Flat white</t>
        </is>
      </c>
      <c r="B119" s="27">
        <f>$AM$14*Productos!$H6</f>
        <v/>
      </c>
      <c r="C119" s="36">
        <f>B119*Productos!$F6</f>
        <v/>
      </c>
      <c r="D119" s="36">
        <f>B119*Productos!$J6</f>
        <v/>
      </c>
      <c r="E119" s="36">
        <f>C119-D119</f>
        <v/>
      </c>
      <c r="F119" s="34">
        <f>IFERROR(E119/C119,0)</f>
        <v/>
      </c>
    </row>
    <row r="120">
      <c r="A120" t="inlineStr">
        <is>
          <t>Cappuccino</t>
        </is>
      </c>
      <c r="B120" s="27">
        <f>$AM$14*Productos!$H7</f>
        <v/>
      </c>
      <c r="C120" s="36">
        <f>B120*Productos!$F7</f>
        <v/>
      </c>
      <c r="D120" s="36">
        <f>B120*Productos!$J7</f>
        <v/>
      </c>
      <c r="E120" s="36">
        <f>C120-D120</f>
        <v/>
      </c>
      <c r="F120" s="34">
        <f>IFERROR(E120/C120,0)</f>
        <v/>
      </c>
    </row>
    <row r="121">
      <c r="A121" t="inlineStr">
        <is>
          <t>Latte</t>
        </is>
      </c>
      <c r="B121" s="27">
        <f>$AM$14*Productos!$H8</f>
        <v/>
      </c>
      <c r="C121" s="36">
        <f>B121*Productos!$F8</f>
        <v/>
      </c>
      <c r="D121" s="36">
        <f>B121*Productos!$J8</f>
        <v/>
      </c>
      <c r="E121" s="36">
        <f>C121-D121</f>
        <v/>
      </c>
      <c r="F121" s="34">
        <f>IFERROR(E121/C121,0)</f>
        <v/>
      </c>
    </row>
    <row r="122">
      <c r="A122" t="inlineStr">
        <is>
          <t>Cold brew</t>
        </is>
      </c>
      <c r="B122" s="27">
        <f>$AM$14*Productos!$H9</f>
        <v/>
      </c>
      <c r="C122" s="36">
        <f>B122*Productos!$F9</f>
        <v/>
      </c>
      <c r="D122" s="36">
        <f>B122*Productos!$J9</f>
        <v/>
      </c>
      <c r="E122" s="36">
        <f>C122-D122</f>
        <v/>
      </c>
      <c r="F122" s="34">
        <f>IFERROR(E122/C122,0)</f>
        <v/>
      </c>
    </row>
    <row r="123">
      <c r="A123" t="inlineStr">
        <is>
          <t>Croissant</t>
        </is>
      </c>
      <c r="B123" s="27">
        <f>$AM$14*Productos!$H10</f>
        <v/>
      </c>
      <c r="C123" s="36">
        <f>B123*Productos!$F10</f>
        <v/>
      </c>
      <c r="D123" s="36">
        <f>B123*Productos!$J10</f>
        <v/>
      </c>
      <c r="E123" s="36">
        <f>C123-D123</f>
        <v/>
      </c>
      <c r="F123" s="34">
        <f>IFERROR(E123/C123,0)</f>
        <v/>
      </c>
    </row>
    <row r="124">
      <c r="A124" t="inlineStr">
        <is>
          <t>Tostada</t>
        </is>
      </c>
      <c r="B124" s="27">
        <f>$AM$14*Productos!$H11</f>
        <v/>
      </c>
      <c r="C124" s="36">
        <f>B124*Productos!$F11</f>
        <v/>
      </c>
      <c r="D124" s="36">
        <f>B124*Productos!$J11</f>
        <v/>
      </c>
      <c r="E124" s="36">
        <f>C124-D124</f>
        <v/>
      </c>
      <c r="F124" s="34">
        <f>IFERROR(E124/C124,0)</f>
        <v/>
      </c>
    </row>
    <row r="125">
      <c r="A125" t="inlineStr">
        <is>
          <t>Bolsa café 250 g</t>
        </is>
      </c>
      <c r="B125" s="27">
        <f>$AM$14*Productos!$H12</f>
        <v/>
      </c>
      <c r="C125" s="36">
        <f>B125*Productos!$F12</f>
        <v/>
      </c>
      <c r="D125" s="36">
        <f>B125*Productos!$J12</f>
        <v/>
      </c>
      <c r="E125" s="36">
        <f>C125-D125</f>
        <v/>
      </c>
      <c r="F125" s="34">
        <f>IFERROR(E125/C125,0)</f>
        <v/>
      </c>
    </row>
    <row r="126">
      <c r="A126" t="inlineStr">
        <is>
          <t>Total</t>
        </is>
      </c>
      <c r="B126" s="66">
        <f>SUM(B118:B125)</f>
        <v/>
      </c>
      <c r="C126" s="49">
        <f>SUM(C118:C125)</f>
        <v/>
      </c>
      <c r="D126" s="49">
        <f>SUM(D118:D125)</f>
        <v/>
      </c>
      <c r="E126" s="49">
        <f>SUM(E118:E125)</f>
        <v/>
      </c>
      <c r="F126" s="46">
        <f>IFERROR(E126/C126,0)</f>
        <v/>
      </c>
    </row>
    <row r="128">
      <c r="A128" s="23" t="inlineStr">
        <is>
          <t>Producto — 2027</t>
        </is>
      </c>
      <c r="B128" s="23" t="inlineStr">
        <is>
          <t>Unidades</t>
        </is>
      </c>
      <c r="C128" s="23" t="inlineStr">
        <is>
          <t>Ingresos</t>
        </is>
      </c>
      <c r="D128" s="23" t="inlineStr">
        <is>
          <t>COGS</t>
        </is>
      </c>
      <c r="E128" s="23" t="inlineStr">
        <is>
          <t>Margen bruto</t>
        </is>
      </c>
      <c r="F128" s="23" t="inlineStr">
        <is>
          <t>Margen %</t>
        </is>
      </c>
    </row>
    <row r="129">
      <c r="A129" t="inlineStr">
        <is>
          <t>Espresso</t>
        </is>
      </c>
      <c r="B129" s="27">
        <f>$AN$14*Productos!$H5</f>
        <v/>
      </c>
      <c r="C129" s="36">
        <f>B129*Productos!$F5*(1+INDEX(ScenarioMatrix,3,$B$3))^1</f>
        <v/>
      </c>
      <c r="D129" s="36">
        <f>B129*Productos!$J5*(1+INDEX(ScenarioMatrix,4,$B$3))^1</f>
        <v/>
      </c>
      <c r="E129" s="36">
        <f>C129-D129</f>
        <v/>
      </c>
      <c r="F129" s="34">
        <f>IFERROR(E129/C129,0)</f>
        <v/>
      </c>
    </row>
    <row r="130">
      <c r="A130" t="inlineStr">
        <is>
          <t>Flat white</t>
        </is>
      </c>
      <c r="B130" s="27">
        <f>$AN$14*Productos!$H6</f>
        <v/>
      </c>
      <c r="C130" s="36">
        <f>B130*Productos!$F6*(1+INDEX(ScenarioMatrix,3,$B$3))^1</f>
        <v/>
      </c>
      <c r="D130" s="36">
        <f>B130*Productos!$J6*(1+INDEX(ScenarioMatrix,4,$B$3))^1</f>
        <v/>
      </c>
      <c r="E130" s="36">
        <f>C130-D130</f>
        <v/>
      </c>
      <c r="F130" s="34">
        <f>IFERROR(E130/C130,0)</f>
        <v/>
      </c>
    </row>
    <row r="131">
      <c r="A131" t="inlineStr">
        <is>
          <t>Cappuccino</t>
        </is>
      </c>
      <c r="B131" s="27">
        <f>$AN$14*Productos!$H7</f>
        <v/>
      </c>
      <c r="C131" s="36">
        <f>B131*Productos!$F7*(1+INDEX(ScenarioMatrix,3,$B$3))^1</f>
        <v/>
      </c>
      <c r="D131" s="36">
        <f>B131*Productos!$J7*(1+INDEX(ScenarioMatrix,4,$B$3))^1</f>
        <v/>
      </c>
      <c r="E131" s="36">
        <f>C131-D131</f>
        <v/>
      </c>
      <c r="F131" s="34">
        <f>IFERROR(E131/C131,0)</f>
        <v/>
      </c>
    </row>
    <row r="132">
      <c r="A132" t="inlineStr">
        <is>
          <t>Latte</t>
        </is>
      </c>
      <c r="B132" s="27">
        <f>$AN$14*Productos!$H8</f>
        <v/>
      </c>
      <c r="C132" s="36">
        <f>B132*Productos!$F8*(1+INDEX(ScenarioMatrix,3,$B$3))^1</f>
        <v/>
      </c>
      <c r="D132" s="36">
        <f>B132*Productos!$J8*(1+INDEX(ScenarioMatrix,4,$B$3))^1</f>
        <v/>
      </c>
      <c r="E132" s="36">
        <f>C132-D132</f>
        <v/>
      </c>
      <c r="F132" s="34">
        <f>IFERROR(E132/C132,0)</f>
        <v/>
      </c>
    </row>
    <row r="133">
      <c r="A133" t="inlineStr">
        <is>
          <t>Cold brew</t>
        </is>
      </c>
      <c r="B133" s="27">
        <f>$AN$14*Productos!$H9</f>
        <v/>
      </c>
      <c r="C133" s="36">
        <f>B133*Productos!$F9*(1+INDEX(ScenarioMatrix,3,$B$3))^1</f>
        <v/>
      </c>
      <c r="D133" s="36">
        <f>B133*Productos!$J9*(1+INDEX(ScenarioMatrix,4,$B$3))^1</f>
        <v/>
      </c>
      <c r="E133" s="36">
        <f>C133-D133</f>
        <v/>
      </c>
      <c r="F133" s="34">
        <f>IFERROR(E133/C133,0)</f>
        <v/>
      </c>
    </row>
    <row r="134">
      <c r="A134" t="inlineStr">
        <is>
          <t>Croissant</t>
        </is>
      </c>
      <c r="B134" s="27">
        <f>$AN$14*Productos!$H10</f>
        <v/>
      </c>
      <c r="C134" s="36">
        <f>B134*Productos!$F10*(1+INDEX(ScenarioMatrix,3,$B$3))^1</f>
        <v/>
      </c>
      <c r="D134" s="36">
        <f>B134*Productos!$J10*(1+INDEX(ScenarioMatrix,4,$B$3))^1</f>
        <v/>
      </c>
      <c r="E134" s="36">
        <f>C134-D134</f>
        <v/>
      </c>
      <c r="F134" s="34">
        <f>IFERROR(E134/C134,0)</f>
        <v/>
      </c>
    </row>
    <row r="135">
      <c r="A135" t="inlineStr">
        <is>
          <t>Tostada</t>
        </is>
      </c>
      <c r="B135" s="27">
        <f>$AN$14*Productos!$H11</f>
        <v/>
      </c>
      <c r="C135" s="36">
        <f>B135*Productos!$F11*(1+INDEX(ScenarioMatrix,3,$B$3))^1</f>
        <v/>
      </c>
      <c r="D135" s="36">
        <f>B135*Productos!$J11*(1+INDEX(ScenarioMatrix,4,$B$3))^1</f>
        <v/>
      </c>
      <c r="E135" s="36">
        <f>C135-D135</f>
        <v/>
      </c>
      <c r="F135" s="34">
        <f>IFERROR(E135/C135,0)</f>
        <v/>
      </c>
    </row>
    <row r="136">
      <c r="A136" t="inlineStr">
        <is>
          <t>Bolsa café 250 g</t>
        </is>
      </c>
      <c r="B136" s="27">
        <f>$AN$14*Productos!$H12</f>
        <v/>
      </c>
      <c r="C136" s="36">
        <f>B136*Productos!$F12*(1+INDEX(ScenarioMatrix,3,$B$3))^1</f>
        <v/>
      </c>
      <c r="D136" s="36">
        <f>B136*Productos!$J12*(1+INDEX(ScenarioMatrix,4,$B$3))^1</f>
        <v/>
      </c>
      <c r="E136" s="36">
        <f>C136-D136</f>
        <v/>
      </c>
      <c r="F136" s="34">
        <f>IFERROR(E136/C136,0)</f>
        <v/>
      </c>
    </row>
    <row r="137">
      <c r="A137" t="inlineStr">
        <is>
          <t>Total</t>
        </is>
      </c>
      <c r="B137" s="66">
        <f>SUM(B129:B136)</f>
        <v/>
      </c>
      <c r="C137" s="49">
        <f>SUM(C129:C136)</f>
        <v/>
      </c>
      <c r="D137" s="49">
        <f>SUM(D129:D136)</f>
        <v/>
      </c>
      <c r="E137" s="49">
        <f>SUM(E129:E136)</f>
        <v/>
      </c>
      <c r="F137" s="46">
        <f>IFERROR(E137/C137,0)</f>
        <v/>
      </c>
    </row>
    <row r="139">
      <c r="A139" s="23" t="inlineStr">
        <is>
          <t>Producto — 2028</t>
        </is>
      </c>
      <c r="B139" s="23" t="inlineStr">
        <is>
          <t>Unidades</t>
        </is>
      </c>
      <c r="C139" s="23" t="inlineStr">
        <is>
          <t>Ingresos</t>
        </is>
      </c>
      <c r="D139" s="23" t="inlineStr">
        <is>
          <t>COGS</t>
        </is>
      </c>
      <c r="E139" s="23" t="inlineStr">
        <is>
          <t>Margen bruto</t>
        </is>
      </c>
      <c r="F139" s="23" t="inlineStr">
        <is>
          <t>Margen %</t>
        </is>
      </c>
    </row>
    <row r="140">
      <c r="A140" t="inlineStr">
        <is>
          <t>Espresso</t>
        </is>
      </c>
      <c r="B140" s="27">
        <f>$AO$14*Productos!$H5</f>
        <v/>
      </c>
      <c r="C140" s="36">
        <f>B140*Productos!$F5*(1+INDEX(ScenarioMatrix,3,$B$3))^2</f>
        <v/>
      </c>
      <c r="D140" s="36">
        <f>B140*Productos!$J5*(1+INDEX(ScenarioMatrix,4,$B$3))^2</f>
        <v/>
      </c>
      <c r="E140" s="36">
        <f>C140-D140</f>
        <v/>
      </c>
      <c r="F140" s="34">
        <f>IFERROR(E140/C140,0)</f>
        <v/>
      </c>
    </row>
    <row r="141">
      <c r="A141" t="inlineStr">
        <is>
          <t>Flat white</t>
        </is>
      </c>
      <c r="B141" s="27">
        <f>$AO$14*Productos!$H6</f>
        <v/>
      </c>
      <c r="C141" s="36">
        <f>B141*Productos!$F6*(1+INDEX(ScenarioMatrix,3,$B$3))^2</f>
        <v/>
      </c>
      <c r="D141" s="36">
        <f>B141*Productos!$J6*(1+INDEX(ScenarioMatrix,4,$B$3))^2</f>
        <v/>
      </c>
      <c r="E141" s="36">
        <f>C141-D141</f>
        <v/>
      </c>
      <c r="F141" s="34">
        <f>IFERROR(E141/C141,0)</f>
        <v/>
      </c>
    </row>
    <row r="142">
      <c r="A142" t="inlineStr">
        <is>
          <t>Cappuccino</t>
        </is>
      </c>
      <c r="B142" s="27">
        <f>$AO$14*Productos!$H7</f>
        <v/>
      </c>
      <c r="C142" s="36">
        <f>B142*Productos!$F7*(1+INDEX(ScenarioMatrix,3,$B$3))^2</f>
        <v/>
      </c>
      <c r="D142" s="36">
        <f>B142*Productos!$J7*(1+INDEX(ScenarioMatrix,4,$B$3))^2</f>
        <v/>
      </c>
      <c r="E142" s="36">
        <f>C142-D142</f>
        <v/>
      </c>
      <c r="F142" s="34">
        <f>IFERROR(E142/C142,0)</f>
        <v/>
      </c>
    </row>
    <row r="143">
      <c r="A143" t="inlineStr">
        <is>
          <t>Latte</t>
        </is>
      </c>
      <c r="B143" s="27">
        <f>$AO$14*Productos!$H8</f>
        <v/>
      </c>
      <c r="C143" s="36">
        <f>B143*Productos!$F8*(1+INDEX(ScenarioMatrix,3,$B$3))^2</f>
        <v/>
      </c>
      <c r="D143" s="36">
        <f>B143*Productos!$J8*(1+INDEX(ScenarioMatrix,4,$B$3))^2</f>
        <v/>
      </c>
      <c r="E143" s="36">
        <f>C143-D143</f>
        <v/>
      </c>
      <c r="F143" s="34">
        <f>IFERROR(E143/C143,0)</f>
        <v/>
      </c>
    </row>
    <row r="144">
      <c r="A144" t="inlineStr">
        <is>
          <t>Cold brew</t>
        </is>
      </c>
      <c r="B144" s="27">
        <f>$AO$14*Productos!$H9</f>
        <v/>
      </c>
      <c r="C144" s="36">
        <f>B144*Productos!$F9*(1+INDEX(ScenarioMatrix,3,$B$3))^2</f>
        <v/>
      </c>
      <c r="D144" s="36">
        <f>B144*Productos!$J9*(1+INDEX(ScenarioMatrix,4,$B$3))^2</f>
        <v/>
      </c>
      <c r="E144" s="36">
        <f>C144-D144</f>
        <v/>
      </c>
      <c r="F144" s="34">
        <f>IFERROR(E144/C144,0)</f>
        <v/>
      </c>
    </row>
    <row r="145">
      <c r="A145" t="inlineStr">
        <is>
          <t>Croissant</t>
        </is>
      </c>
      <c r="B145" s="27">
        <f>$AO$14*Productos!$H10</f>
        <v/>
      </c>
      <c r="C145" s="36">
        <f>B145*Productos!$F10*(1+INDEX(ScenarioMatrix,3,$B$3))^2</f>
        <v/>
      </c>
      <c r="D145" s="36">
        <f>B145*Productos!$J10*(1+INDEX(ScenarioMatrix,4,$B$3))^2</f>
        <v/>
      </c>
      <c r="E145" s="36">
        <f>C145-D145</f>
        <v/>
      </c>
      <c r="F145" s="34">
        <f>IFERROR(E145/C145,0)</f>
        <v/>
      </c>
    </row>
    <row r="146">
      <c r="A146" t="inlineStr">
        <is>
          <t>Tostada</t>
        </is>
      </c>
      <c r="B146" s="27">
        <f>$AO$14*Productos!$H11</f>
        <v/>
      </c>
      <c r="C146" s="36">
        <f>B146*Productos!$F11*(1+INDEX(ScenarioMatrix,3,$B$3))^2</f>
        <v/>
      </c>
      <c r="D146" s="36">
        <f>B146*Productos!$J11*(1+INDEX(ScenarioMatrix,4,$B$3))^2</f>
        <v/>
      </c>
      <c r="E146" s="36">
        <f>C146-D146</f>
        <v/>
      </c>
      <c r="F146" s="34">
        <f>IFERROR(E146/C146,0)</f>
        <v/>
      </c>
    </row>
    <row r="147">
      <c r="A147" t="inlineStr">
        <is>
          <t>Bolsa café 250 g</t>
        </is>
      </c>
      <c r="B147" s="27">
        <f>$AO$14*Productos!$H12</f>
        <v/>
      </c>
      <c r="C147" s="36">
        <f>B147*Productos!$F12*(1+INDEX(ScenarioMatrix,3,$B$3))^2</f>
        <v/>
      </c>
      <c r="D147" s="36">
        <f>B147*Productos!$J12*(1+INDEX(ScenarioMatrix,4,$B$3))^2</f>
        <v/>
      </c>
      <c r="E147" s="36">
        <f>C147-D147</f>
        <v/>
      </c>
      <c r="F147" s="34">
        <f>IFERROR(E147/C147,0)</f>
        <v/>
      </c>
    </row>
    <row r="148">
      <c r="A148" t="inlineStr">
        <is>
          <t>Total</t>
        </is>
      </c>
      <c r="B148" s="66">
        <f>SUM(B140:B147)</f>
        <v/>
      </c>
      <c r="C148" s="49">
        <f>SUM(C140:C147)</f>
        <v/>
      </c>
      <c r="D148" s="49">
        <f>SUM(D140:D147)</f>
        <v/>
      </c>
      <c r="E148" s="49">
        <f>SUM(E140:E147)</f>
        <v/>
      </c>
      <c r="F148" s="46">
        <f>IFERROR(E148/C148,0)</f>
        <v/>
      </c>
    </row>
    <row r="149">
      <c r="A149" t="inlineStr">
        <is>
          <t>Check producto 2028 vs P&amp;L</t>
        </is>
      </c>
      <c r="C149" s="37">
        <f>C148-AO15</f>
        <v/>
      </c>
      <c r="D149" s="37">
        <f>D148-AO16</f>
        <v/>
      </c>
      <c r="E149" s="10">
        <f>IF(AND(ABS(C149)&lt;1,ABS(D149)&lt;1),"OK","Revisar")</f>
        <v/>
      </c>
    </row>
    <row r="150">
      <c r="A150" t="inlineStr">
        <is>
          <t>Check producto 2026 vs P&amp;L</t>
        </is>
      </c>
      <c r="C150" s="37">
        <f>C126-AM15</f>
        <v/>
      </c>
      <c r="D150" s="37">
        <f>D126-AM16</f>
        <v/>
      </c>
      <c r="E150" s="10">
        <f>IF(AND(ABS(C150)&lt;1,ABS(D150)&lt;1),"OK","Revisar")</f>
        <v/>
      </c>
    </row>
    <row r="151">
      <c r="A151" t="inlineStr">
        <is>
          <t>Check producto 2027 vs P&amp;L</t>
        </is>
      </c>
      <c r="C151" s="37">
        <f>C137-AN15</f>
        <v/>
      </c>
      <c r="D151" s="37">
        <f>D137-AN16</f>
        <v/>
      </c>
      <c r="E151" s="10">
        <f>IF(AND(ABS(C151)&lt;1,ABS(D151)&lt;1),"OK","Revisar")</f>
        <v/>
      </c>
    </row>
    <row r="153" ht="20" customHeight="1">
      <c r="A153" s="16" t="inlineStr">
        <is>
          <t>PUNTO DE EQUILIBRIO MENSUAL (AUXILIAR)</t>
        </is>
      </c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  <c r="AE153" s="17" t="n"/>
      <c r="AF153" s="17" t="n"/>
      <c r="AG153" s="17" t="n"/>
      <c r="AH153" s="17" t="n"/>
      <c r="AI153" s="17" t="n"/>
      <c r="AJ153" s="17" t="n"/>
      <c r="AK153" s="17" t="n"/>
      <c r="AL153" s="17" t="n"/>
      <c r="AM153" s="17" t="n"/>
      <c r="AN153" s="17" t="n"/>
      <c r="AO153" s="17" t="n"/>
      <c r="AP153" s="17" t="n"/>
    </row>
    <row r="154">
      <c r="A154" s="6" t="inlineStr">
        <is>
          <t>BE EBITDA mensual</t>
        </is>
      </c>
      <c r="B154" s="24" t="inlineStr">
        <is>
          <t>tickets/día</t>
        </is>
      </c>
      <c r="C154" s="57">
        <f>(C18+C19+C20+C21+C22+C24)/((C15-C16-C23)/C13)/C9</f>
        <v/>
      </c>
      <c r="D154" s="57">
        <f>(D18+D19+D20+D21+D22+D24)/((D15-D16-D23)/D13)/D9</f>
        <v/>
      </c>
      <c r="E154" s="57">
        <f>(E18+E19+E20+E21+E22+E24)/((E15-E16-E23)/E13)/E9</f>
        <v/>
      </c>
      <c r="F154" s="57">
        <f>(F18+F19+F20+F21+F22+F24)/((F15-F16-F23)/F13)/F9</f>
        <v/>
      </c>
      <c r="G154" s="57">
        <f>(G18+G19+G20+G21+G22+G24)/((G15-G16-G23)/G13)/G9</f>
        <v/>
      </c>
      <c r="H154" s="57">
        <f>(H18+H19+H20+H21+H22+H24)/((H15-H16-H23)/H13)/H9</f>
        <v/>
      </c>
      <c r="I154" s="57">
        <f>(I18+I19+I20+I21+I22+I24)/((I15-I16-I23)/I13)/I9</f>
        <v/>
      </c>
      <c r="J154" s="57">
        <f>(J18+J19+J20+J21+J22+J24)/((J15-J16-J23)/J13)/J9</f>
        <v/>
      </c>
      <c r="K154" s="57">
        <f>(K18+K19+K20+K21+K22+K24)/((K15-K16-K23)/K13)/K9</f>
        <v/>
      </c>
      <c r="L154" s="57">
        <f>(L18+L19+L20+L21+L22+L24)/((L15-L16-L23)/L13)/L9</f>
        <v/>
      </c>
      <c r="M154" s="57">
        <f>(M18+M19+M20+M21+M22+M24)/((M15-M16-M23)/M13)/M9</f>
        <v/>
      </c>
      <c r="N154" s="57">
        <f>(N18+N19+N20+N21+N22+N24)/((N15-N16-N23)/N13)/N9</f>
        <v/>
      </c>
      <c r="O154" s="57">
        <f>(O18+O19+O20+O21+O22+O24)/((O15-O16-O23)/O13)/O9</f>
        <v/>
      </c>
      <c r="P154" s="57">
        <f>(P18+P19+P20+P21+P22+P24)/((P15-P16-P23)/P13)/P9</f>
        <v/>
      </c>
      <c r="Q154" s="57">
        <f>(Q18+Q19+Q20+Q21+Q22+Q24)/((Q15-Q16-Q23)/Q13)/Q9</f>
        <v/>
      </c>
      <c r="R154" s="57">
        <f>(R18+R19+R20+R21+R22+R24)/((R15-R16-R23)/R13)/R9</f>
        <v/>
      </c>
      <c r="S154" s="57">
        <f>(S18+S19+S20+S21+S22+S24)/((S15-S16-S23)/S13)/S9</f>
        <v/>
      </c>
      <c r="T154" s="57">
        <f>(T18+T19+T20+T21+T22+T24)/((T15-T16-T23)/T13)/T9</f>
        <v/>
      </c>
      <c r="U154" s="57">
        <f>(U18+U19+U20+U21+U22+U24)/((U15-U16-U23)/U13)/U9</f>
        <v/>
      </c>
      <c r="V154" s="57">
        <f>(V18+V19+V20+V21+V22+V24)/((V15-V16-V23)/V13)/V9</f>
        <v/>
      </c>
      <c r="W154" s="57">
        <f>(W18+W19+W20+W21+W22+W24)/((W15-W16-W23)/W13)/W9</f>
        <v/>
      </c>
      <c r="X154" s="57">
        <f>(X18+X19+X20+X21+X22+X24)/((X15-X16-X23)/X13)/X9</f>
        <v/>
      </c>
      <c r="Y154" s="57">
        <f>(Y18+Y19+Y20+Y21+Y22+Y24)/((Y15-Y16-Y23)/Y13)/Y9</f>
        <v/>
      </c>
      <c r="Z154" s="57">
        <f>(Z18+Z19+Z20+Z21+Z22+Z24)/((Z15-Z16-Z23)/Z13)/Z9</f>
        <v/>
      </c>
      <c r="AA154" s="57">
        <f>(AA18+AA19+AA20+AA21+AA22+AA24)/((AA15-AA16-AA23)/AA13)/AA9</f>
        <v/>
      </c>
      <c r="AB154" s="57">
        <f>(AB18+AB19+AB20+AB21+AB22+AB24)/((AB15-AB16-AB23)/AB13)/AB9</f>
        <v/>
      </c>
      <c r="AC154" s="57">
        <f>(AC18+AC19+AC20+AC21+AC22+AC24)/((AC15-AC16-AC23)/AC13)/AC9</f>
        <v/>
      </c>
      <c r="AD154" s="57">
        <f>(AD18+AD19+AD20+AD21+AD22+AD24)/((AD15-AD16-AD23)/AD13)/AD9</f>
        <v/>
      </c>
      <c r="AE154" s="57">
        <f>(AE18+AE19+AE20+AE21+AE22+AE24)/((AE15-AE16-AE23)/AE13)/AE9</f>
        <v/>
      </c>
      <c r="AF154" s="57">
        <f>(AF18+AF19+AF20+AF21+AF22+AF24)/((AF15-AF16-AF23)/AF13)/AF9</f>
        <v/>
      </c>
      <c r="AG154" s="57">
        <f>(AG18+AG19+AG20+AG21+AG22+AG24)/((AG15-AG16-AG23)/AG13)/AG9</f>
        <v/>
      </c>
      <c r="AH154" s="57">
        <f>(AH18+AH19+AH20+AH21+AH22+AH24)/((AH15-AH16-AH23)/AH13)/AH9</f>
        <v/>
      </c>
      <c r="AI154" s="57">
        <f>(AI18+AI19+AI20+AI21+AI22+AI24)/((AI15-AI16-AI23)/AI13)/AI9</f>
        <v/>
      </c>
      <c r="AJ154" s="57">
        <f>(AJ18+AJ19+AJ20+AJ21+AJ22+AJ24)/((AJ15-AJ16-AJ23)/AJ13)/AJ9</f>
        <v/>
      </c>
      <c r="AK154" s="57">
        <f>(AK18+AK19+AK20+AK21+AK22+AK24)/((AK15-AK16-AK23)/AK13)/AK9</f>
        <v/>
      </c>
      <c r="AL154" s="57">
        <f>(AL18+AL19+AL20+AL21+AL22+AL24)/((AL15-AL16-AL23)/AL13)/AL9</f>
        <v/>
      </c>
    </row>
    <row r="155">
      <c r="A155" s="6" t="inlineStr">
        <is>
          <t>BE total mensual</t>
        </is>
      </c>
      <c r="B155" s="24" t="inlineStr">
        <is>
          <t>tickets/día</t>
        </is>
      </c>
      <c r="C155" s="57">
        <f>(C18+C19+C20+C21+C22+C24+C27+C29)/((C15-C16-C23)/C13)/C9</f>
        <v/>
      </c>
      <c r="D155" s="57">
        <f>(D18+D19+D20+D21+D22+D24+D27+D29)/((D15-D16-D23)/D13)/D9</f>
        <v/>
      </c>
      <c r="E155" s="57">
        <f>(E18+E19+E20+E21+E22+E24+E27+E29)/((E15-E16-E23)/E13)/E9</f>
        <v/>
      </c>
      <c r="F155" s="57">
        <f>(F18+F19+F20+F21+F22+F24+F27+F29)/((F15-F16-F23)/F13)/F9</f>
        <v/>
      </c>
      <c r="G155" s="57">
        <f>(G18+G19+G20+G21+G22+G24+G27+G29)/((G15-G16-G23)/G13)/G9</f>
        <v/>
      </c>
      <c r="H155" s="57">
        <f>(H18+H19+H20+H21+H22+H24+H27+H29)/((H15-H16-H23)/H13)/H9</f>
        <v/>
      </c>
      <c r="I155" s="57">
        <f>(I18+I19+I20+I21+I22+I24+I27+I29)/((I15-I16-I23)/I13)/I9</f>
        <v/>
      </c>
      <c r="J155" s="57">
        <f>(J18+J19+J20+J21+J22+J24+J27+J29)/((J15-J16-J23)/J13)/J9</f>
        <v/>
      </c>
      <c r="K155" s="57">
        <f>(K18+K19+K20+K21+K22+K24+K27+K29)/((K15-K16-K23)/K13)/K9</f>
        <v/>
      </c>
      <c r="L155" s="57">
        <f>(L18+L19+L20+L21+L22+L24+L27+L29)/((L15-L16-L23)/L13)/L9</f>
        <v/>
      </c>
      <c r="M155" s="57">
        <f>(M18+M19+M20+M21+M22+M24+M27+M29)/((M15-M16-M23)/M13)/M9</f>
        <v/>
      </c>
      <c r="N155" s="57">
        <f>(N18+N19+N20+N21+N22+N24+N27+N29)/((N15-N16-N23)/N13)/N9</f>
        <v/>
      </c>
      <c r="O155" s="57">
        <f>(O18+O19+O20+O21+O22+O24+O27+O29)/((O15-O16-O23)/O13)/O9</f>
        <v/>
      </c>
      <c r="P155" s="57">
        <f>(P18+P19+P20+P21+P22+P24+P27+P29)/((P15-P16-P23)/P13)/P9</f>
        <v/>
      </c>
      <c r="Q155" s="57">
        <f>(Q18+Q19+Q20+Q21+Q22+Q24+Q27+Q29)/((Q15-Q16-Q23)/Q13)/Q9</f>
        <v/>
      </c>
      <c r="R155" s="57">
        <f>(R18+R19+R20+R21+R22+R24+R27+R29)/((R15-R16-R23)/R13)/R9</f>
        <v/>
      </c>
      <c r="S155" s="57">
        <f>(S18+S19+S20+S21+S22+S24+S27+S29)/((S15-S16-S23)/S13)/S9</f>
        <v/>
      </c>
      <c r="T155" s="57">
        <f>(T18+T19+T20+T21+T22+T24+T27+T29)/((T15-T16-T23)/T13)/T9</f>
        <v/>
      </c>
      <c r="U155" s="57">
        <f>(U18+U19+U20+U21+U22+U24+U27+U29)/((U15-U16-U23)/U13)/U9</f>
        <v/>
      </c>
      <c r="V155" s="57">
        <f>(V18+V19+V20+V21+V22+V24+V27+V29)/((V15-V16-V23)/V13)/V9</f>
        <v/>
      </c>
      <c r="W155" s="57">
        <f>(W18+W19+W20+W21+W22+W24+W27+W29)/((W15-W16-W23)/W13)/W9</f>
        <v/>
      </c>
      <c r="X155" s="57">
        <f>(X18+X19+X20+X21+X22+X24+X27+X29)/((X15-X16-X23)/X13)/X9</f>
        <v/>
      </c>
      <c r="Y155" s="57">
        <f>(Y18+Y19+Y20+Y21+Y22+Y24+Y27+Y29)/((Y15-Y16-Y23)/Y13)/Y9</f>
        <v/>
      </c>
      <c r="Z155" s="57">
        <f>(Z18+Z19+Z20+Z21+Z22+Z24+Z27+Z29)/((Z15-Z16-Z23)/Z13)/Z9</f>
        <v/>
      </c>
      <c r="AA155" s="57">
        <f>(AA18+AA19+AA20+AA21+AA22+AA24+AA27+AA29)/((AA15-AA16-AA23)/AA13)/AA9</f>
        <v/>
      </c>
      <c r="AB155" s="57">
        <f>(AB18+AB19+AB20+AB21+AB22+AB24+AB27+AB29)/((AB15-AB16-AB23)/AB13)/AB9</f>
        <v/>
      </c>
      <c r="AC155" s="57">
        <f>(AC18+AC19+AC20+AC21+AC22+AC24+AC27+AC29)/((AC15-AC16-AC23)/AC13)/AC9</f>
        <v/>
      </c>
      <c r="AD155" s="57">
        <f>(AD18+AD19+AD20+AD21+AD22+AD24+AD27+AD29)/((AD15-AD16-AD23)/AD13)/AD9</f>
        <v/>
      </c>
      <c r="AE155" s="57">
        <f>(AE18+AE19+AE20+AE21+AE22+AE24+AE27+AE29)/((AE15-AE16-AE23)/AE13)/AE9</f>
        <v/>
      </c>
      <c r="AF155" s="57">
        <f>(AF18+AF19+AF20+AF21+AF22+AF24+AF27+AF29)/((AF15-AF16-AF23)/AF13)/AF9</f>
        <v/>
      </c>
      <c r="AG155" s="57">
        <f>(AG18+AG19+AG20+AG21+AG22+AG24+AG27+AG29)/((AG15-AG16-AG23)/AG13)/AG9</f>
        <v/>
      </c>
      <c r="AH155" s="57">
        <f>(AH18+AH19+AH20+AH21+AH22+AH24+AH27+AH29)/((AH15-AH16-AH23)/AH13)/AH9</f>
        <v/>
      </c>
      <c r="AI155" s="57">
        <f>(AI18+AI19+AI20+AI21+AI22+AI24+AI27+AI29)/((AI15-AI16-AI23)/AI13)/AI9</f>
        <v/>
      </c>
      <c r="AJ155" s="57">
        <f>(AJ18+AJ19+AJ20+AJ21+AJ22+AJ24+AJ27+AJ29)/((AJ15-AJ16-AJ23)/AJ13)/AJ9</f>
        <v/>
      </c>
      <c r="AK155" s="57">
        <f>(AK18+AK19+AK20+AK21+AK22+AK24+AK27+AK29)/((AK15-AK16-AK23)/AK13)/AK9</f>
        <v/>
      </c>
      <c r="AL155" s="57">
        <f>(AL18+AL19+AL20+AL21+AL22+AL24+AL27+AL29)/((AL15-AL16-AL23)/AL13)/AL9</f>
        <v/>
      </c>
    </row>
    <row r="156">
      <c r="A156" s="6" t="inlineStr">
        <is>
          <t>Margen de seguridad mensual</t>
        </is>
      </c>
      <c r="B156" s="24" t="inlineStr">
        <is>
          <t>%</t>
        </is>
      </c>
      <c r="C156" s="67">
        <f>IFERROR((C12-C155)/C12,0)</f>
        <v/>
      </c>
      <c r="D156" s="67">
        <f>IFERROR((D12-D155)/D12,0)</f>
        <v/>
      </c>
      <c r="E156" s="67">
        <f>IFERROR((E12-E155)/E12,0)</f>
        <v/>
      </c>
      <c r="F156" s="67">
        <f>IFERROR((F12-F155)/F12,0)</f>
        <v/>
      </c>
      <c r="G156" s="67">
        <f>IFERROR((G12-G155)/G12,0)</f>
        <v/>
      </c>
      <c r="H156" s="67">
        <f>IFERROR((H12-H155)/H12,0)</f>
        <v/>
      </c>
      <c r="I156" s="67">
        <f>IFERROR((I12-I155)/I12,0)</f>
        <v/>
      </c>
      <c r="J156" s="67">
        <f>IFERROR((J12-J155)/J12,0)</f>
        <v/>
      </c>
      <c r="K156" s="67">
        <f>IFERROR((K12-K155)/K12,0)</f>
        <v/>
      </c>
      <c r="L156" s="67">
        <f>IFERROR((L12-L155)/L12,0)</f>
        <v/>
      </c>
      <c r="M156" s="67">
        <f>IFERROR((M12-M155)/M12,0)</f>
        <v/>
      </c>
      <c r="N156" s="67">
        <f>IFERROR((N12-N155)/N12,0)</f>
        <v/>
      </c>
      <c r="O156" s="67">
        <f>IFERROR((O12-O155)/O12,0)</f>
        <v/>
      </c>
      <c r="P156" s="67">
        <f>IFERROR((P12-P155)/P12,0)</f>
        <v/>
      </c>
      <c r="Q156" s="67">
        <f>IFERROR((Q12-Q155)/Q12,0)</f>
        <v/>
      </c>
      <c r="R156" s="67">
        <f>IFERROR((R12-R155)/R12,0)</f>
        <v/>
      </c>
      <c r="S156" s="67">
        <f>IFERROR((S12-S155)/S12,0)</f>
        <v/>
      </c>
      <c r="T156" s="67">
        <f>IFERROR((T12-T155)/T12,0)</f>
        <v/>
      </c>
      <c r="U156" s="67">
        <f>IFERROR((U12-U155)/U12,0)</f>
        <v/>
      </c>
      <c r="V156" s="67">
        <f>IFERROR((V12-V155)/V12,0)</f>
        <v/>
      </c>
      <c r="W156" s="67">
        <f>IFERROR((W12-W155)/W12,0)</f>
        <v/>
      </c>
      <c r="X156" s="67">
        <f>IFERROR((X12-X155)/X12,0)</f>
        <v/>
      </c>
      <c r="Y156" s="67">
        <f>IFERROR((Y12-Y155)/Y12,0)</f>
        <v/>
      </c>
      <c r="Z156" s="67">
        <f>IFERROR((Z12-Z155)/Z12,0)</f>
        <v/>
      </c>
      <c r="AA156" s="67">
        <f>IFERROR((AA12-AA155)/AA12,0)</f>
        <v/>
      </c>
      <c r="AB156" s="67">
        <f>IFERROR((AB12-AB155)/AB12,0)</f>
        <v/>
      </c>
      <c r="AC156" s="67">
        <f>IFERROR((AC12-AC155)/AC12,0)</f>
        <v/>
      </c>
      <c r="AD156" s="67">
        <f>IFERROR((AD12-AD155)/AD12,0)</f>
        <v/>
      </c>
      <c r="AE156" s="67">
        <f>IFERROR((AE12-AE155)/AE12,0)</f>
        <v/>
      </c>
      <c r="AF156" s="67">
        <f>IFERROR((AF12-AF155)/AF12,0)</f>
        <v/>
      </c>
      <c r="AG156" s="67">
        <f>IFERROR((AG12-AG155)/AG12,0)</f>
        <v/>
      </c>
      <c r="AH156" s="67">
        <f>IFERROR((AH12-AH155)/AH12,0)</f>
        <v/>
      </c>
      <c r="AI156" s="67">
        <f>IFERROR((AI12-AI155)/AI12,0)</f>
        <v/>
      </c>
      <c r="AJ156" s="67">
        <f>IFERROR((AJ12-AJ155)/AJ12,0)</f>
        <v/>
      </c>
      <c r="AK156" s="67">
        <f>IFERROR((AK12-AK155)/AK12,0)</f>
        <v/>
      </c>
      <c r="AL156" s="67">
        <f>IFERROR((AL12-AL155)/AL12,0)</f>
        <v/>
      </c>
    </row>
  </sheetData>
  <mergeCells count="8">
    <mergeCell ref="A108:AP108"/>
    <mergeCell ref="A116:AP116"/>
    <mergeCell ref="A58:D58"/>
    <mergeCell ref="A37:AP37"/>
    <mergeCell ref="A11:AP11"/>
    <mergeCell ref="A74:AP74"/>
    <mergeCell ref="A153:AP153"/>
    <mergeCell ref="A51:AP51"/>
  </mergeCells>
  <conditionalFormatting sqref="C49:AL49">
    <cfRule type="cellIs" priority="1" operator="equal" dxfId="0">
      <formula>"Alerta"</formula>
    </cfRule>
  </conditionalFormatting>
  <conditionalFormatting sqref="C26:AL26">
    <cfRule type="cellIs" priority="2" operator="lessThan" dxfId="1">
      <formula>0</formula>
    </cfRule>
  </conditionalFormatting>
  <conditionalFormatting sqref="C32:AL32">
    <cfRule type="cellIs" priority="3" operator="lessThan" dxfId="2">
      <formula>0</formula>
    </cfRule>
  </conditionalFormatting>
  <conditionalFormatting sqref="C33:AL33">
    <cfRule type="cellIs" priority="4" operator="lessThan" dxfId="1">
      <formula>0.6</formula>
    </cfRule>
  </conditionalFormatting>
  <conditionalFormatting sqref="C34:AL34">
    <cfRule type="cellIs" priority="5" operator="lessThan" dxfId="1">
      <formula>0.1</formula>
    </cfRule>
  </conditionalFormatting>
  <dataValidations count="1">
    <dataValidation sqref="B3" showDropDown="0" showInputMessage="0" showErrorMessage="0" allowBlank="0" errorTitle="Selector no válido" error="Selecciona un escenario entre 1 y 3." promptTitle="Escenario" prompt="1 = Pesimista, 2 = Base, 3 = Optimista" type="whole" operator="between">
      <formula1>1</formula1>
      <formula2>3</formula2>
    </dataValidation>
  </dataValidations>
  <printOptions gridLines="0"/>
  <pageMargins left="0.75" right="0.75" top="1" bottom="1" header="0.5" footer="0.5"/>
  <pageSetup orientation="landscape" paperSize="9" fitToHeight="0" fitToWidth="1"/>
  <headerFooter>
    <oddHeader>&amp;CCafetería Aurora — Modelo 2026–2028</oddHeader>
    <oddFooter>&amp;CPágina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2026-10-26T00:22:02Z</dcterms:created>
  <dcterms:modified xsi:type="dcterms:W3CDTF">2026-10-26T00:22:03Z</dcterms:modified>
</cp:coreProperties>
</file>