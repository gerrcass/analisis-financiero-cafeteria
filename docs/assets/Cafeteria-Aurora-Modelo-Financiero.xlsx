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esumen" sheetId="2" state="visible" r:id="rId2"/>
    <sheet name="Supuestos" sheetId="3" state="visible" r:id="rId3"/>
    <sheet name="Productos" sheetId="4" state="visible" r:id="rId4"/>
    <sheet name="Personal" sheetId="5" state="visible" r:id="rId5"/>
    <sheet name="Costos" sheetId="6" state="visible" r:id="rId6"/>
    <sheet name="Pesimista" sheetId="7" state="visible" r:id="rId7"/>
    <sheet name="Base" sheetId="8" state="visible" r:id="rId8"/>
    <sheet name="Optimista" sheetId="9" state="visible" r:id="rId9"/>
    <sheet name="Aprende" sheetId="10" state="visible" r:id="rId10"/>
  </sheets>
  <definedNames>
    <definedName name="BaseTicketsDay">Supuestos!$B$13</definedName>
    <definedName name="ItemsPerTicket">Supuestos!$B$14</definedName>
    <definedName name="Seasonality">Supuestos!$C$19:$N$19</definedName>
    <definedName name="OpeningDays">Supuestos!$C$20:$N$20</definedName>
    <definedName name="Ramp">Supuestos!$C$21:$N$21</definedName>
    <definedName name="ScenarioMatrix">Supuestos!$D$27:$F$36</definedName>
    <definedName name="Equity">Supuestos!$B$41</definedName>
    <definedName name="LoanAmount">Supuestos!$B$42</definedName>
    <definedName name="LoanRate">Supuestos!$B$43</definedName>
    <definedName name="LoanMonths">Supuestos!$B$44</definedName>
    <definedName name="OpeningCash">Supuestos!$B$45</definedName>
    <definedName name="WC0">Supuestos!$B$46</definedName>
    <definedName name="MinCash">Supuestos!$B$47</definedName>
    <definedName name="LoanPayment">Supuestos!$B$48</definedName>
    <definedName name="TaxRate">Supuestos!$B$53</definedName>
    <definedName name="InventoryDays">Supuestos!$B$54</definedName>
    <definedName name="PayableDays">Supuestos!$B$55</definedName>
    <definedName name="ReceivableDays">Supuestos!$B$56</definedName>
    <definedName name="RentGrowth">Supuestos!$B$61</definedName>
    <definedName name="FixedMarketingGrowth">Supuestos!$B$62</definedName>
    <definedName name="ProductPVP">Productos!$D$5:$D$12</definedName>
    <definedName name="ProductVAT">Productos!$E$5:$E$12</definedName>
    <definedName name="ProductNetPrice">Productos!$F$5:$F$12</definedName>
    <definedName name="ProductCost">Productos!$G$5:$G$12</definedName>
    <definedName name="ProductMix">Productos!$H$5:$H$12</definedName>
    <definedName name="ProductWaste">Productos!$I$5:$I$12</definedName>
    <definedName name="ProductCostAdj">Productos!$J$5:$J$12</definedName>
    <definedName name="ProductUnitMargin">Productos!$K$5:$K$12</definedName>
    <definedName name="WeightedNetPrice">Productos!$F$13</definedName>
    <definedName name="WeightedCostAdj">Productos!$J$13</definedName>
    <definedName name="StaffSalary">Personal!$B$5:$B$8</definedName>
    <definedName name="StaffFTE_Y1">Personal!$C$5:$C$8</definedName>
    <definedName name="StaffFTE_Y2">Personal!$D$5:$D$8</definedName>
    <definedName name="StaffFTE_Y3">Personal!$E$5:$E$8</definedName>
    <definedName name="StaffCostByYear">Personal!$F$9:$H$9</definedName>
    <definedName name="EmployerSS">Personal!$B$11</definedName>
    <definedName name="SalaryGrowth">Personal!$B$12</definedName>
    <definedName name="RentMonth">Costos!$B$6</definedName>
    <definedName name="UtilitiesMonth">Costos!$B$7</definedName>
    <definedName name="FixedServicesMonth">Costos!$B$8</definedName>
    <definedName name="FixedMarketingMonth">Costos!$B$9</definedName>
    <definedName name="OtherOpexMonth">Costos!$B$10</definedName>
    <definedName name="CapexAmount">Costos!$B$15:$B$20</definedName>
    <definedName name="CapexLife">Costos!$C$15:$C$20</definedName>
    <definedName name="TotalCapex">Costos!$B$21</definedName>
    <definedName name="MonthlyDepreciation">Costos!$E$21</definedName>
    <definedName name="MaintenanceCapexPct">Costos!$B$24</definedName>
    <definedName name="_xlnm.Print_Area" localSheetId="1">'Resumen'!$A$1:$T$174</definedName>
    <definedName name="_xlnm.Print_Titles" localSheetId="6">'Pesimista'!$1:$9,'Pesimista'!$A:$B</definedName>
    <definedName name="_xlnm.Print_Titles" localSheetId="7">'Base'!$1:$9,'Base'!$A:$B</definedName>
    <definedName name="_xlnm.Print_Titles" localSheetId="8">'Optimista'!$1:$9,'Optimista'!$A:$B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0.0"/>
    <numFmt numFmtId="167" formatCode="0.000"/>
    <numFmt numFmtId="168" formatCode="0.0%"/>
    <numFmt numFmtId="169" formatCode="#,##0 €"/>
    <numFmt numFmtId="170" formatCode="#,##0.00 €"/>
    <numFmt numFmtId="171" formatCode="0.0000 €"/>
    <numFmt numFmtId="172" formatCode="0.00&quot;x&quot;"/>
  </numFmts>
  <fonts count="29">
    <font>
      <name val="Calibri"/>
      <family val="2"/>
      <color theme="1"/>
      <sz val="11"/>
      <scheme val="minor"/>
    </font>
    <font>
      <name val="Calibri"/>
      <b val="1"/>
      <color rgb="002B1D16"/>
      <sz val="30"/>
    </font>
    <font>
      <name val="Calibri"/>
      <color rgb="00C4623B"/>
      <sz val="17"/>
    </font>
    <font>
      <name val="Calibri"/>
      <color rgb="006F6259"/>
      <sz val="11"/>
    </font>
    <font>
      <name val="Calibri"/>
      <b val="1"/>
      <color rgb="00C4623B"/>
      <sz val="11"/>
    </font>
    <font>
      <name val="Calibri"/>
      <color rgb="002B1D16"/>
      <sz val="10"/>
    </font>
    <font>
      <name val="Calibri"/>
      <color rgb="001F4E79"/>
      <sz val="10"/>
    </font>
    <font>
      <name val="Calibri"/>
      <b val="1"/>
      <color rgb="005E6B52"/>
      <sz val="10"/>
    </font>
    <font>
      <name val="Calibri"/>
      <color rgb="006F6259"/>
      <sz val="10"/>
    </font>
    <font>
      <name val="Calibri"/>
      <b val="1"/>
      <color rgb="002B1D16"/>
      <sz val="11"/>
    </font>
    <font>
      <name val="Calibri"/>
      <b val="1"/>
      <color rgb="002B1D16"/>
      <sz val="10"/>
    </font>
    <font>
      <name val="Calibri"/>
      <b val="1"/>
      <color rgb="00A33A2B"/>
      <sz val="10"/>
    </font>
    <font>
      <name val="Calibri"/>
      <color rgb="00A33A2B"/>
      <sz val="10"/>
    </font>
    <font>
      <name val="Calibri"/>
      <b val="1"/>
      <color rgb="002B1D16"/>
      <sz val="18"/>
    </font>
    <font>
      <name val="Calibri"/>
      <b val="1"/>
      <color rgb="00FFFDF9"/>
      <sz val="10"/>
    </font>
    <font>
      <name val="Calibri"/>
      <i val="1"/>
      <color rgb="006F6259"/>
      <sz val="9"/>
    </font>
    <font>
      <name val="Calibri"/>
      <color rgb="006F6259"/>
      <sz val="9"/>
    </font>
    <font>
      <name val="Calibri"/>
      <b val="1"/>
      <color rgb="002B1D16"/>
      <sz val="16"/>
    </font>
    <font>
      <name val="Calibri"/>
      <b val="1"/>
      <color rgb="00C4623B"/>
      <sz val="10"/>
    </font>
    <font>
      <name val="Calibri"/>
      <b val="1"/>
      <color rgb="002B1D16"/>
      <sz val="20"/>
    </font>
    <font>
      <name val="Calibri"/>
      <b val="1"/>
      <color rgb="00FFFDF9"/>
      <sz val="11"/>
    </font>
    <font>
      <name val="Calibri"/>
      <b val="1"/>
      <color rgb="005E6B52"/>
      <sz val="9"/>
    </font>
    <font>
      <name val="Calibri"/>
      <b val="1"/>
      <color rgb="00806410"/>
      <sz val="9"/>
    </font>
    <font>
      <name val="Calibri"/>
      <b val="1"/>
      <color rgb="006F6259"/>
      <sz val="9"/>
    </font>
    <font>
      <name val="Calibri"/>
      <color rgb="005E6B52"/>
      <sz val="10"/>
    </font>
    <font>
      <name val="Consolas"/>
      <color rgb="002B1D16"/>
      <sz val="9"/>
    </font>
    <font>
      <name val="Calibri"/>
      <b val="1"/>
      <color rgb="002B1D16"/>
      <sz val="9"/>
    </font>
    <font>
      <name val="Calibri"/>
      <color rgb="002B1D16"/>
      <sz val="9"/>
    </font>
    <font>
      <name val="Calibri"/>
      <b val="1"/>
      <color rgb="00A33A2B"/>
      <sz val="9"/>
    </font>
  </fonts>
  <fills count="8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FFFDF9"/>
      </patternFill>
    </fill>
    <fill>
      <patternFill patternType="solid">
        <fgColor rgb="00E2EFDA"/>
      </patternFill>
    </fill>
    <fill>
      <patternFill patternType="solid">
        <fgColor rgb="00C4623B"/>
      </patternFill>
    </fill>
    <fill>
      <patternFill patternType="solid">
        <fgColor rgb="002B1D16"/>
      </patternFill>
    </fill>
    <fill>
      <patternFill patternType="solid">
        <fgColor rgb="00F7F1E7"/>
      </patternFill>
    </fill>
  </fills>
  <borders count="4">
    <border>
      <left/>
      <right/>
      <top/>
      <bottom/>
      <diagonal/>
    </border>
    <border>
      <left style="thin">
        <color rgb="00E4D8C8"/>
      </left>
      <right style="thin">
        <color rgb="00E4D8C8"/>
      </right>
      <top style="thin">
        <color rgb="00E4D8C8"/>
      </top>
      <bottom style="thin">
        <color rgb="00E4D8C8"/>
      </bottom>
    </border>
    <border/>
    <border>
      <top style="medium">
        <color rgb="002B1D16"/>
      </top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right"/>
    </xf>
    <xf numFmtId="0" fontId="8" fillId="0" borderId="0" pivotButton="0" quotePrefix="0" xfId="0"/>
    <xf numFmtId="0" fontId="0" fillId="3" borderId="1" pivotButton="0" quotePrefix="0" xfId="0"/>
    <xf numFmtId="0" fontId="7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9" fillId="0" borderId="0" pivotButton="0" quotePrefix="0" xfId="0"/>
    <xf numFmtId="0" fontId="18" fillId="3" borderId="2" pivotButton="0" quotePrefix="0" xfId="0"/>
    <xf numFmtId="0" fontId="16" fillId="0" borderId="0" pivotButton="0" quotePrefix="0" xfId="0"/>
    <xf numFmtId="0" fontId="14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14" fillId="6" borderId="1" applyAlignment="1" pivotButton="0" quotePrefix="0" xfId="0">
      <alignment horizontal="center" vertical="center" wrapText="1"/>
    </xf>
    <xf numFmtId="169" fontId="5" fillId="3" borderId="2" pivotButton="0" quotePrefix="0" xfId="0"/>
    <xf numFmtId="168" fontId="5" fillId="3" borderId="2" pivotButton="0" quotePrefix="0" xfId="0"/>
    <xf numFmtId="49" fontId="0" fillId="0" borderId="0" pivotButton="0" quotePrefix="0" xfId="0"/>
    <xf numFmtId="0" fontId="15" fillId="0" borderId="0" pivotButton="0" quotePrefix="0" xfId="0"/>
    <xf numFmtId="17" fontId="0" fillId="0" borderId="0" pivotButton="0" quotePrefix="0" xfId="0"/>
    <xf numFmtId="0" fontId="10" fillId="7" borderId="3" pivotButton="0" quotePrefix="0" xfId="0"/>
    <xf numFmtId="169" fontId="10" fillId="7" borderId="3" pivotButton="0" quotePrefix="0" xfId="0"/>
    <xf numFmtId="0" fontId="13" fillId="0" borderId="0" pivotButton="0" quotePrefix="0" xfId="0"/>
    <xf numFmtId="165" fontId="6" fillId="2" borderId="1" applyAlignment="1" pivotButton="0" quotePrefix="0" xfId="0">
      <alignment horizontal="right"/>
    </xf>
    <xf numFmtId="3" fontId="6" fillId="2" borderId="1" applyAlignment="1" pivotButton="0" quotePrefix="0" xfId="0">
      <alignment horizontal="right"/>
    </xf>
    <xf numFmtId="166" fontId="6" fillId="2" borderId="1" applyAlignment="1" pivotButton="0" quotePrefix="0" xfId="0">
      <alignment horizontal="right"/>
    </xf>
    <xf numFmtId="2" fontId="6" fillId="2" borderId="1" applyAlignment="1" pivotButton="0" quotePrefix="0" xfId="0">
      <alignment horizontal="right"/>
    </xf>
    <xf numFmtId="3" fontId="5" fillId="3" borderId="2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167" fontId="6" fillId="2" borderId="1" applyAlignment="1" pivotButton="0" quotePrefix="0" xfId="0">
      <alignment horizontal="right"/>
    </xf>
    <xf numFmtId="167" fontId="5" fillId="3" borderId="2" pivotButton="0" quotePrefix="0" xfId="0"/>
    <xf numFmtId="3" fontId="5" fillId="3" borderId="2" pivotButton="0" quotePrefix="0" xfId="0"/>
    <xf numFmtId="0" fontId="8" fillId="0" borderId="0" applyAlignment="1" pivotButton="0" quotePrefix="0" xfId="0">
      <alignment horizontal="center"/>
    </xf>
    <xf numFmtId="0" fontId="5" fillId="0" borderId="0" pivotButton="0" quotePrefix="0" xfId="0"/>
    <xf numFmtId="168" fontId="6" fillId="2" borderId="1" applyAlignment="1" pivotButton="0" quotePrefix="0" xfId="0">
      <alignment horizontal="right"/>
    </xf>
    <xf numFmtId="169" fontId="6" fillId="2" borderId="1" applyAlignment="1" pivotButton="0" quotePrefix="0" xfId="0">
      <alignment horizontal="right"/>
    </xf>
    <xf numFmtId="170" fontId="5" fillId="3" borderId="2" applyAlignment="1" pivotButton="0" quotePrefix="0" xfId="0">
      <alignment horizontal="left"/>
    </xf>
    <xf numFmtId="2" fontId="5" fillId="3" borderId="2" pivotButton="0" quotePrefix="0" xfId="0"/>
    <xf numFmtId="0" fontId="5" fillId="3" borderId="2" pivotButton="0" quotePrefix="0" xfId="0"/>
    <xf numFmtId="0" fontId="15" fillId="4" borderId="0" pivotButton="0" quotePrefix="0" xfId="0"/>
    <xf numFmtId="170" fontId="6" fillId="2" borderId="1" applyAlignment="1" pivotButton="0" quotePrefix="0" xfId="0">
      <alignment horizontal="right"/>
    </xf>
    <xf numFmtId="168" fontId="0" fillId="0" borderId="0" pivotButton="0" quotePrefix="0" xfId="0"/>
    <xf numFmtId="171" fontId="5" fillId="3" borderId="2" pivotButton="0" quotePrefix="0" xfId="0"/>
    <xf numFmtId="1" fontId="5" fillId="3" borderId="2" pivotButton="0" quotePrefix="0" xfId="0"/>
    <xf numFmtId="170" fontId="10" fillId="7" borderId="3" pivotButton="0" quotePrefix="0" xfId="0"/>
    <xf numFmtId="171" fontId="10" fillId="7" borderId="3" pivotButton="0" quotePrefix="0" xfId="0"/>
    <xf numFmtId="168" fontId="10" fillId="7" borderId="3" pivotButton="0" quotePrefix="0" xfId="0"/>
    <xf numFmtId="1" fontId="10" fillId="7" borderId="3" pivotButton="0" quotePrefix="0" xfId="0"/>
    <xf numFmtId="166" fontId="10" fillId="7" borderId="3" pivotButton="0" quotePrefix="0" xfId="0"/>
    <xf numFmtId="1" fontId="6" fillId="2" borderId="1" applyAlignment="1" pivotButton="0" quotePrefix="0" xfId="0">
      <alignment horizontal="right"/>
    </xf>
    <xf numFmtId="170" fontId="5" fillId="3" borderId="2" pivotButton="0" quotePrefix="0" xfId="0"/>
    <xf numFmtId="0" fontId="17" fillId="0" borderId="0" pivotButton="0" quotePrefix="0" xfId="0"/>
    <xf numFmtId="165" fontId="5" fillId="3" borderId="2" pivotButton="0" quotePrefix="0" xfId="0"/>
    <xf numFmtId="17" fontId="5" fillId="3" borderId="2" pivotButton="0" quotePrefix="0" xfId="0"/>
    <xf numFmtId="166" fontId="5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9" fontId="10" fillId="3" borderId="2" applyAlignment="1" pivotButton="0" quotePrefix="0" xfId="0">
      <alignment horizontal="right"/>
    </xf>
    <xf numFmtId="169" fontId="5" fillId="3" borderId="2" applyAlignment="1" pivotButton="0" quotePrefix="0" xfId="0">
      <alignment horizontal="right"/>
    </xf>
    <xf numFmtId="49" fontId="5" fillId="3" borderId="2" applyAlignment="1" pivotButton="0" quotePrefix="0" xfId="0">
      <alignment horizontal="right"/>
    </xf>
    <xf numFmtId="172" fontId="5" fillId="3" borderId="2" applyAlignment="1" pivotButton="0" quotePrefix="0" xfId="0">
      <alignment horizontal="right"/>
    </xf>
    <xf numFmtId="172" fontId="5" fillId="3" borderId="2" pivotButton="0" quotePrefix="0" xfId="0"/>
    <xf numFmtId="166" fontId="5" fillId="3" borderId="2" pivotButton="0" quotePrefix="0" xfId="0"/>
    <xf numFmtId="0" fontId="10" fillId="3" borderId="2" pivotButton="0" quotePrefix="0" xfId="0"/>
    <xf numFmtId="3" fontId="10" fillId="7" borderId="3" pivotButton="0" quotePrefix="0" xfId="0"/>
    <xf numFmtId="168" fontId="5" fillId="3" borderId="2" applyAlignment="1" pivotButton="0" quotePrefix="0" xfId="0">
      <alignment horizontal="right"/>
    </xf>
    <xf numFmtId="0" fontId="5" fillId="0" borderId="0" applyAlignment="1" pivotButton="0" quotePrefix="0" xfId="0">
      <alignment vertical="top" wrapText="1"/>
    </xf>
    <xf numFmtId="0" fontId="20" fillId="5" borderId="0" applyAlignment="1" pivotButton="0" quotePrefix="0" xfId="0">
      <alignment vertic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A33A2B"/>
        <sz val="10"/>
      </font>
      <fill>
        <patternFill patternType="solid">
          <fgColor rgb="00F8E7E2"/>
        </patternFill>
      </fill>
    </dxf>
    <dxf>
      <fill>
        <patternFill patternType="solid">
          <fgColor rgb="00FCE9D9"/>
        </patternFill>
      </fill>
    </dxf>
    <dxf>
      <fill>
        <patternFill patternType="solid">
          <fgColor rgb="00F8E7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y EBITDA — escenario seleccionado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'Resumen'!C110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'Resumen'!$B$111:$B$146</f>
            </numRef>
          </cat>
          <val>
            <numRef>
              <f>'Resumen'!$C$111:$C$146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'Resumen'!D110</f>
            </strRef>
          </tx>
          <spPr>
            <a:ln w="25400">
              <a:solidFill>
                <a:srgbClr val="5E6B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'Resumen'!$D$111:$D$146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Beneficio neto y caja final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'Resumen'!E110</f>
            </strRef>
          </tx>
          <spPr>
            <a:solidFill>
              <a:srgbClr val="806410"/>
            </a:solidFill>
            <a:ln>
              <a:prstDash val="solid"/>
            </a:ln>
          </spPr>
          <cat>
            <numRef>
              <f>'Resumen'!$B$111:$B$146</f>
            </numRef>
          </cat>
          <val>
            <numRef>
              <f>'Resumen'!$E$111:$E$146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'Resumen'!F110</f>
            </strRef>
          </tx>
          <spPr>
            <a:ln w="25400">
              <a:solidFill>
                <a:srgbClr val="2B1D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'Resumen'!$F$111:$F$146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Beneficio neto (€)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Caja final (€)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Comparativa de escenarios 2028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'Resumen'!C150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'Resumen'!$C$151:$C$153</f>
            </numRef>
          </val>
        </ser>
        <ser>
          <idx val="1"/>
          <order val="1"/>
          <tx>
            <strRef>
              <f>'Resumen'!D150</f>
            </strRef>
          </tx>
          <spPr>
            <a:solidFill>
              <a:srgbClr val="5E6B52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'Resumen'!$D$151:$D$153</f>
            </numRef>
          </val>
        </ser>
        <ser>
          <idx val="2"/>
          <order val="2"/>
          <tx>
            <strRef>
              <f>'Resumen'!E150</f>
            </strRef>
          </tx>
          <spPr>
            <a:solidFill>
              <a:srgbClr val="806410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'Resumen'!$E$151:$E$153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por producto — Base 2028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'Resumen'!C157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'Resumen'!$B$158:$B$165</f>
            </numRef>
          </cat>
          <val>
            <numRef>
              <f>'Resumen'!$C$158:$C$165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Estructura de costes — Base 2026</a:t>
            </a:r>
          </a:p>
        </rich>
      </tx>
    </title>
    <plotArea>
      <doughnutChart>
        <varyColors val="1"/>
        <ser>
          <idx val="0"/>
          <order val="0"/>
          <tx>
            <strRef>
              <f>'Resumen'!C168</f>
            </strRef>
          </tx>
          <spPr>
            <a:ln>
              <a:prstDash val="solid"/>
            </a:ln>
          </spPr>
          <cat>
            <numRef>
              <f>'Resumen'!$B$169:$B$173</f>
            </numRef>
          </cat>
          <val>
            <numRef>
              <f>'Resumen'!$C$169:$C$173</f>
            </numRef>
          </val>
        </ser>
        <dLbls>
          <showPercent val="1"/>
        </dLbls>
        <firstSliceAng val="0"/>
        <holeSize val="10"/>
      </doughnutChart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22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39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56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73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B1D16"/>
    <outlinePr summaryBelow="1" summaryRight="1"/>
    <pageSetUpPr fitToPage="1"/>
  </sheetPr>
  <dimension ref="B2:C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  <col width="3" customWidth="1" min="4" max="4"/>
  </cols>
  <sheetData>
    <row r="2">
      <c r="B2" s="1" t="inlineStr">
        <is>
          <t>Cafetería Aurora</t>
        </is>
      </c>
    </row>
    <row r="3">
      <c r="B3" s="2" t="inlineStr">
        <is>
          <t>Modelo financiero 2026–2028</t>
        </is>
      </c>
    </row>
    <row r="4">
      <c r="B4" s="3" t="inlineStr">
        <is>
          <t>Café de especialidad · Zaragoza · EUR</t>
        </is>
      </c>
    </row>
    <row r="6">
      <c r="B6" s="4" t="inlineStr">
        <is>
          <t>QUÉ ES ESTE LIBRO</t>
        </is>
      </c>
    </row>
    <row r="7">
      <c r="B7" s="5" t="inlineStr">
        <is>
          <t>Un modelo mensual de 36 meses, tres escenarios (Pesimista, Base y Optimista), cuenta de resultados, caja, deuda, impuestos, punto de equilibrio y payback. Todas las celdas blancas son fórmulas: cambia una celda amarilla y el libro se recalcula.</t>
        </is>
      </c>
    </row>
    <row r="8"/>
    <row r="10">
      <c r="B10" s="4" t="inlineStr">
        <is>
          <t>CÓMO USARLO</t>
        </is>
      </c>
    </row>
    <row r="11">
      <c r="B11" s="6" t="inlineStr">
        <is>
          <t>1. Elige el escenario en Resumen B4 (1 Pesimista, 2 Base, 3 Optimista).</t>
        </is>
      </c>
    </row>
    <row r="12">
      <c r="B12" s="6" t="inlineStr">
        <is>
          <t>2. Cambia solo las celdas amarillas de Supuestos, Productos, Personal y Costos.</t>
        </is>
      </c>
    </row>
    <row r="13">
      <c r="B13" s="6" t="inlineStr">
        <is>
          <t>3. No edites celdas blancas: son fórmulas vivas.</t>
        </is>
      </c>
    </row>
    <row r="14">
      <c r="B14" s="6" t="inlineStr">
        <is>
          <t>4. Revisa los checks verdes de Supuestos y de cada hoja de escenario.</t>
        </is>
      </c>
    </row>
    <row r="15">
      <c r="B15" s="6" t="inlineStr">
        <is>
          <t>5. Descarga la versión web y la guía desde el README del repositorio.</t>
        </is>
      </c>
    </row>
    <row r="17">
      <c r="B17" s="4" t="inlineStr">
        <is>
          <t>LEYENDA</t>
        </is>
      </c>
    </row>
    <row r="18">
      <c r="B18" s="7" t="inlineStr">
        <is>
          <t>Entrada editable</t>
        </is>
      </c>
      <c r="C18" s="8" t="inlineStr">
        <is>
          <t>Celda amarilla: puedes cambiarla. Solo en las hojas de entrada y selectores.</t>
        </is>
      </c>
    </row>
    <row r="19">
      <c r="B19" s="9" t="inlineStr">
        <is>
          <t>Fórmula (no editar)</t>
        </is>
      </c>
      <c r="C19" s="8" t="inlineStr">
        <is>
          <t>Celda blanca: se recalcula. Si la sobrescribes, rompes la trazabilidad.</t>
        </is>
      </c>
    </row>
    <row r="20">
      <c r="B20" s="10" t="inlineStr">
        <is>
          <t>OK</t>
        </is>
      </c>
      <c r="C20" s="8" t="inlineStr">
        <is>
          <t>Verde si cuadra; rojo si hay que revisar.</t>
        </is>
      </c>
    </row>
    <row r="22">
      <c r="B22" s="4" t="inlineStr">
        <is>
          <t>FUENTE DE VERDAD</t>
        </is>
      </c>
    </row>
    <row r="23">
      <c r="B23" s="11" t="inlineStr">
        <is>
          <t>data/model.json</t>
        </is>
      </c>
      <c r="C23" s="8" t="inlineStr">
        <is>
          <t>El contrato de supuestos. El libro, el sitio y los tests se generan desde él.</t>
        </is>
      </c>
    </row>
    <row r="25">
      <c r="B25" s="12" t="inlineStr">
        <is>
          <t>Versión</t>
        </is>
      </c>
      <c r="C25" t="inlineStr">
        <is>
          <t>1.0 · 25/10/2026</t>
        </is>
      </c>
    </row>
    <row r="26">
      <c r="B26" s="12" t="inlineStr">
        <is>
          <t>Autor</t>
        </is>
      </c>
      <c r="C26" t="inlineStr">
        <is>
          <t>Cafetería Aurora · modelo educativo</t>
        </is>
      </c>
    </row>
    <row r="27">
      <c r="B27" s="13" t="inlineStr">
        <is>
          <t>Aviso</t>
        </is>
      </c>
      <c r="C27" s="14" t="inlineStr">
        <is>
          <t>Este modelo es educativo. No es asesoramiento financiero, fiscal ni legal.</t>
        </is>
      </c>
    </row>
  </sheetData>
  <mergeCells count="1">
    <mergeCell ref="B7:C8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4623B"/>
    <outlinePr summaryBelow="1" summaryRight="1"/>
    <pageSetUpPr fitToPage="1"/>
  </sheetPr>
  <dimension ref="A1:K17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3" customWidth="1" min="12" max="12"/>
    <col width="10" customWidth="1" min="13" max="13"/>
  </cols>
  <sheetData>
    <row r="1">
      <c r="A1" s="15" t="inlineStr">
        <is>
          <t>Resumen ejecutivo</t>
        </is>
      </c>
    </row>
    <row r="2">
      <c r="A2" s="8" t="inlineStr">
        <is>
          <t>Los tres escenarios en una página. Elige el escenario de los gráficos mensuales y no edites las celdas blancas.</t>
        </is>
      </c>
    </row>
    <row r="4">
      <c r="A4" t="inlineStr">
        <is>
          <t>Selector de escenario (1/2/3):</t>
        </is>
      </c>
      <c r="B4" s="7" t="n">
        <v>2</v>
      </c>
      <c r="C4" s="16">
        <f>CHOOSE(B4,"Pesimista","Base","Optimista")</f>
        <v/>
      </c>
      <c r="D4" s="17" t="inlineStr">
        <is>
          <t>1 = Pesimista · 2 = Base · 3 = Optimista. Cambia el escenario de los gráficos mensuales.</t>
        </is>
      </c>
    </row>
    <row r="5" ht="20" customHeight="1">
      <c r="A5" s="18" t="inlineStr">
        <is>
          <t>KPIS POR ESCENARIO Y AÑO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</row>
    <row r="6">
      <c r="A6" s="20" t="inlineStr">
        <is>
          <t>Escenario</t>
        </is>
      </c>
      <c r="B6" s="20" t="inlineStr">
        <is>
          <t>Año</t>
        </is>
      </c>
      <c r="C6" s="20" t="inlineStr">
        <is>
          <t>Ingresos</t>
        </is>
      </c>
      <c r="D6" s="20" t="inlineStr">
        <is>
          <t>EBITDA</t>
        </is>
      </c>
      <c r="E6" s="20" t="inlineStr">
        <is>
          <t>Margen EBITDA</t>
        </is>
      </c>
      <c r="F6" s="20" t="inlineStr">
        <is>
          <t>Beneficio neto</t>
        </is>
      </c>
      <c r="G6" s="20" t="inlineStr">
        <is>
          <t>Margen neto</t>
        </is>
      </c>
      <c r="H6" s="20" t="inlineStr">
        <is>
          <t>Caja final</t>
        </is>
      </c>
      <c r="I6" s="20" t="inlineStr">
        <is>
          <t>Punto equilibrio total</t>
        </is>
      </c>
      <c r="J6" s="20" t="inlineStr">
        <is>
          <t>Payback proyecto</t>
        </is>
      </c>
      <c r="K6" s="20" t="inlineStr">
        <is>
          <t>Payback equity</t>
        </is>
      </c>
    </row>
    <row r="7">
      <c r="A7" t="inlineStr">
        <is>
          <t>Pesimista</t>
        </is>
      </c>
      <c r="B7" t="inlineStr">
        <is>
          <t>2026</t>
        </is>
      </c>
      <c r="C7" s="21">
        <f>Pesimista!B76</f>
        <v/>
      </c>
      <c r="D7" s="21">
        <f>Pesimista!B86</f>
        <v/>
      </c>
      <c r="E7" s="22">
        <f>IFERROR(D7/C7,0)</f>
        <v/>
      </c>
      <c r="F7" s="21">
        <f>Pesimista!B92</f>
        <v/>
      </c>
      <c r="G7" s="22">
        <f>IFERROR(F7/C7,0)</f>
        <v/>
      </c>
      <c r="H7" s="21">
        <f>Pesimista!B98</f>
        <v/>
      </c>
      <c r="I7" s="21">
        <f>Pesimista!B103</f>
        <v/>
      </c>
      <c r="J7" s="23">
        <f>Pesimista!B113</f>
        <v/>
      </c>
      <c r="K7" s="23">
        <f>Pesimista!B114</f>
        <v/>
      </c>
    </row>
    <row r="8">
      <c r="A8" t="inlineStr">
        <is>
          <t>Pesimista</t>
        </is>
      </c>
      <c r="B8" t="inlineStr">
        <is>
          <t>2027</t>
        </is>
      </c>
      <c r="C8" s="21">
        <f>Pesimista!C76</f>
        <v/>
      </c>
      <c r="D8" s="21">
        <f>Pesimista!C86</f>
        <v/>
      </c>
      <c r="E8" s="22">
        <f>IFERROR(D8/C8,0)</f>
        <v/>
      </c>
      <c r="F8" s="21">
        <f>Pesimista!C92</f>
        <v/>
      </c>
      <c r="G8" s="22">
        <f>IFERROR(F8/C8,0)</f>
        <v/>
      </c>
      <c r="H8" s="21">
        <f>Pesimista!C98</f>
        <v/>
      </c>
      <c r="I8" s="21">
        <f>Pesimista!C103</f>
        <v/>
      </c>
      <c r="J8" s="23">
        <f>Pesimista!B113</f>
        <v/>
      </c>
      <c r="K8" s="23">
        <f>Pesimista!B114</f>
        <v/>
      </c>
    </row>
    <row r="9">
      <c r="A9" t="inlineStr">
        <is>
          <t>Pesimista</t>
        </is>
      </c>
      <c r="B9" t="inlineStr">
        <is>
          <t>2028</t>
        </is>
      </c>
      <c r="C9" s="21">
        <f>Pesimista!D76</f>
        <v/>
      </c>
      <c r="D9" s="21">
        <f>Pesimista!D86</f>
        <v/>
      </c>
      <c r="E9" s="22">
        <f>IFERROR(D9/C9,0)</f>
        <v/>
      </c>
      <c r="F9" s="21">
        <f>Pesimista!D92</f>
        <v/>
      </c>
      <c r="G9" s="22">
        <f>IFERROR(F9/C9,0)</f>
        <v/>
      </c>
      <c r="H9" s="21">
        <f>Pesimista!D98</f>
        <v/>
      </c>
      <c r="I9" s="21">
        <f>Pesimista!D103</f>
        <v/>
      </c>
      <c r="J9" s="23">
        <f>Pesimista!B113</f>
        <v/>
      </c>
      <c r="K9" s="23">
        <f>Pesimista!B114</f>
        <v/>
      </c>
    </row>
    <row r="10">
      <c r="A10" s="12" t="inlineStr">
        <is>
          <t>Base</t>
        </is>
      </c>
      <c r="B10" s="12" t="inlineStr">
        <is>
          <t>2026</t>
        </is>
      </c>
      <c r="C10" s="21">
        <f>Base!B76</f>
        <v/>
      </c>
      <c r="D10" s="21">
        <f>Base!B86</f>
        <v/>
      </c>
      <c r="E10" s="22">
        <f>IFERROR(D10/C10,0)</f>
        <v/>
      </c>
      <c r="F10" s="21">
        <f>Base!B92</f>
        <v/>
      </c>
      <c r="G10" s="22">
        <f>IFERROR(F10/C10,0)</f>
        <v/>
      </c>
      <c r="H10" s="21">
        <f>Base!B98</f>
        <v/>
      </c>
      <c r="I10" s="21">
        <f>Base!B103</f>
        <v/>
      </c>
      <c r="J10" s="23">
        <f>Base!B113</f>
        <v/>
      </c>
      <c r="K10" s="23">
        <f>Base!B114</f>
        <v/>
      </c>
    </row>
    <row r="11">
      <c r="A11" t="inlineStr">
        <is>
          <t>Base</t>
        </is>
      </c>
      <c r="B11" t="inlineStr">
        <is>
          <t>2027</t>
        </is>
      </c>
      <c r="C11" s="21">
        <f>Base!C76</f>
        <v/>
      </c>
      <c r="D11" s="21">
        <f>Base!C86</f>
        <v/>
      </c>
      <c r="E11" s="22">
        <f>IFERROR(D11/C11,0)</f>
        <v/>
      </c>
      <c r="F11" s="21">
        <f>Base!C92</f>
        <v/>
      </c>
      <c r="G11" s="22">
        <f>IFERROR(F11/C11,0)</f>
        <v/>
      </c>
      <c r="H11" s="21">
        <f>Base!C98</f>
        <v/>
      </c>
      <c r="I11" s="21">
        <f>Base!C103</f>
        <v/>
      </c>
      <c r="J11" s="23">
        <f>Base!B113</f>
        <v/>
      </c>
      <c r="K11" s="23">
        <f>Base!B114</f>
        <v/>
      </c>
    </row>
    <row r="12">
      <c r="A12" t="inlineStr">
        <is>
          <t>Base</t>
        </is>
      </c>
      <c r="B12" t="inlineStr">
        <is>
          <t>2028</t>
        </is>
      </c>
      <c r="C12" s="21">
        <f>Base!D76</f>
        <v/>
      </c>
      <c r="D12" s="21">
        <f>Base!D86</f>
        <v/>
      </c>
      <c r="E12" s="22">
        <f>IFERROR(D12/C12,0)</f>
        <v/>
      </c>
      <c r="F12" s="21">
        <f>Base!D92</f>
        <v/>
      </c>
      <c r="G12" s="22">
        <f>IFERROR(F12/C12,0)</f>
        <v/>
      </c>
      <c r="H12" s="21">
        <f>Base!D98</f>
        <v/>
      </c>
      <c r="I12" s="21">
        <f>Base!D103</f>
        <v/>
      </c>
      <c r="J12" s="23">
        <f>Base!B113</f>
        <v/>
      </c>
      <c r="K12" s="23">
        <f>Base!B114</f>
        <v/>
      </c>
    </row>
    <row r="13">
      <c r="A13" s="12" t="inlineStr">
        <is>
          <t>Optimista</t>
        </is>
      </c>
      <c r="B13" s="12" t="inlineStr">
        <is>
          <t>2026</t>
        </is>
      </c>
      <c r="C13" s="21">
        <f>Optimista!B76</f>
        <v/>
      </c>
      <c r="D13" s="21">
        <f>Optimista!B86</f>
        <v/>
      </c>
      <c r="E13" s="22">
        <f>IFERROR(D13/C13,0)</f>
        <v/>
      </c>
      <c r="F13" s="21">
        <f>Optimista!B92</f>
        <v/>
      </c>
      <c r="G13" s="22">
        <f>IFERROR(F13/C13,0)</f>
        <v/>
      </c>
      <c r="H13" s="21">
        <f>Optimista!B98</f>
        <v/>
      </c>
      <c r="I13" s="21">
        <f>Optimista!B103</f>
        <v/>
      </c>
      <c r="J13" s="23">
        <f>Optimista!B113</f>
        <v/>
      </c>
      <c r="K13" s="23">
        <f>Optimista!B114</f>
        <v/>
      </c>
    </row>
    <row r="14">
      <c r="A14" t="inlineStr">
        <is>
          <t>Optimista</t>
        </is>
      </c>
      <c r="B14" t="inlineStr">
        <is>
          <t>2027</t>
        </is>
      </c>
      <c r="C14" s="21">
        <f>Optimista!C76</f>
        <v/>
      </c>
      <c r="D14" s="21">
        <f>Optimista!C86</f>
        <v/>
      </c>
      <c r="E14" s="22">
        <f>IFERROR(D14/C14,0)</f>
        <v/>
      </c>
      <c r="F14" s="21">
        <f>Optimista!C92</f>
        <v/>
      </c>
      <c r="G14" s="22">
        <f>IFERROR(F14/C14,0)</f>
        <v/>
      </c>
      <c r="H14" s="21">
        <f>Optimista!C98</f>
        <v/>
      </c>
      <c r="I14" s="21">
        <f>Optimista!C103</f>
        <v/>
      </c>
      <c r="J14" s="23">
        <f>Optimista!B113</f>
        <v/>
      </c>
      <c r="K14" s="23">
        <f>Optimista!B114</f>
        <v/>
      </c>
    </row>
    <row r="15">
      <c r="A15" t="inlineStr">
        <is>
          <t>Optimista</t>
        </is>
      </c>
      <c r="B15" t="inlineStr">
        <is>
          <t>2028</t>
        </is>
      </c>
      <c r="C15" s="21">
        <f>Optimista!D76</f>
        <v/>
      </c>
      <c r="D15" s="21">
        <f>Optimista!D86</f>
        <v/>
      </c>
      <c r="E15" s="22">
        <f>IFERROR(D15/C15,0)</f>
        <v/>
      </c>
      <c r="F15" s="21">
        <f>Optimista!D92</f>
        <v/>
      </c>
      <c r="G15" s="22">
        <f>IFERROR(F15/C15,0)</f>
        <v/>
      </c>
      <c r="H15" s="21">
        <f>Optimista!D98</f>
        <v/>
      </c>
      <c r="I15" s="21">
        <f>Optimista!D103</f>
        <v/>
      </c>
      <c r="J15" s="23">
        <f>Optimista!B113</f>
        <v/>
      </c>
      <c r="K15" s="23">
        <f>Optimista!B114</f>
        <v/>
      </c>
    </row>
    <row r="16" ht="20" customHeight="1">
      <c r="A16" s="18" t="inlineStr">
        <is>
          <t>PAYBACK Y RETORNO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</row>
    <row r="17">
      <c r="A17" s="20" t="inlineStr">
        <is>
          <t>Escenario</t>
        </is>
      </c>
      <c r="B17" s="20" t="inlineStr">
        <is>
          <t>Payback proyecto</t>
        </is>
      </c>
      <c r="C17" s="20" t="inlineStr">
        <is>
          <t>Payback equity</t>
        </is>
      </c>
      <c r="D17" s="20" t="inlineStr">
        <is>
          <t>FCFE acumulado</t>
        </is>
      </c>
      <c r="E17" s="20" t="inlineStr">
        <is>
          <t>Cash-on-cash</t>
        </is>
      </c>
    </row>
    <row r="18">
      <c r="A18" t="inlineStr">
        <is>
          <t>Pesimista</t>
        </is>
      </c>
      <c r="B18" s="23">
        <f>Pesimista!B113</f>
        <v/>
      </c>
      <c r="C18" s="23">
        <f>Pesimista!B114</f>
        <v/>
      </c>
      <c r="D18" s="21">
        <f>Pesimista!AL110</f>
        <v/>
      </c>
      <c r="E18" s="22">
        <f>Pesimista!B106</f>
        <v/>
      </c>
    </row>
    <row r="19">
      <c r="A19" t="inlineStr">
        <is>
          <t>Base</t>
        </is>
      </c>
      <c r="B19" s="23">
        <f>Base!B113</f>
        <v/>
      </c>
      <c r="C19" s="23">
        <f>Base!B114</f>
        <v/>
      </c>
      <c r="D19" s="21">
        <f>Base!AL110</f>
        <v/>
      </c>
      <c r="E19" s="22">
        <f>Base!B106</f>
        <v/>
      </c>
    </row>
    <row r="20">
      <c r="A20" t="inlineStr">
        <is>
          <t>Optimista</t>
        </is>
      </c>
      <c r="B20" s="23">
        <f>Optimista!B113</f>
        <v/>
      </c>
      <c r="C20" s="23">
        <f>Optimista!B114</f>
        <v/>
      </c>
      <c r="D20" s="21">
        <f>Optimista!AL110</f>
        <v/>
      </c>
      <c r="E20" s="22">
        <f>Optimista!B106</f>
        <v/>
      </c>
    </row>
    <row r="21" ht="20" customHeight="1">
      <c r="A21" s="18" t="inlineStr">
        <is>
          <t>COMPARATIVA 2028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</row>
    <row r="22">
      <c r="A22" s="20" t="inlineStr">
        <is>
          <t>Escenario</t>
        </is>
      </c>
      <c r="B22" s="20" t="inlineStr">
        <is>
          <t>Ingresos</t>
        </is>
      </c>
      <c r="C22" s="20" t="inlineStr">
        <is>
          <t>EBITDA</t>
        </is>
      </c>
      <c r="D22" s="20" t="inlineStr">
        <is>
          <t>Beneficio neto</t>
        </is>
      </c>
      <c r="E22" s="20" t="inlineStr">
        <is>
          <t>Caja final</t>
        </is>
      </c>
    </row>
    <row r="23">
      <c r="A23" t="inlineStr">
        <is>
          <t>Pesimista</t>
        </is>
      </c>
      <c r="B23" s="21">
        <f>Pesimista!D76</f>
        <v/>
      </c>
      <c r="C23" s="21">
        <f>Pesimista!D86</f>
        <v/>
      </c>
      <c r="D23" s="21">
        <f>Pesimista!D92</f>
        <v/>
      </c>
      <c r="E23" s="21">
        <f>Pesimista!D98</f>
        <v/>
      </c>
    </row>
    <row r="24">
      <c r="A24" t="inlineStr">
        <is>
          <t>Base</t>
        </is>
      </c>
      <c r="B24" s="21">
        <f>Base!D76</f>
        <v/>
      </c>
      <c r="C24" s="21">
        <f>Base!D86</f>
        <v/>
      </c>
      <c r="D24" s="21">
        <f>Base!D92</f>
        <v/>
      </c>
      <c r="E24" s="21">
        <f>Base!D98</f>
        <v/>
      </c>
    </row>
    <row r="25">
      <c r="A25" t="inlineStr">
        <is>
          <t>Optimista</t>
        </is>
      </c>
      <c r="B25" s="21">
        <f>Optimista!D76</f>
        <v/>
      </c>
      <c r="C25" s="21">
        <f>Optimista!D86</f>
        <v/>
      </c>
      <c r="D25" s="21">
        <f>Optimista!D92</f>
        <v/>
      </c>
      <c r="E25" s="21">
        <f>Optimista!D98</f>
        <v/>
      </c>
    </row>
    <row r="109">
      <c r="A109" s="24" t="inlineStr">
        <is>
          <t>Datos de gráficos · mensual (escenario del selector)</t>
        </is>
      </c>
    </row>
    <row r="110">
      <c r="B110" s="20" t="inlineStr">
        <is>
          <t>Mes</t>
        </is>
      </c>
      <c r="C110" s="20" t="inlineStr">
        <is>
          <t>Ingresos</t>
        </is>
      </c>
      <c r="D110" s="20" t="inlineStr">
        <is>
          <t>EBITDA</t>
        </is>
      </c>
      <c r="E110" s="20" t="inlineStr">
        <is>
          <t>Beneficio neto</t>
        </is>
      </c>
      <c r="F110" s="20" t="inlineStr">
        <is>
          <t>Caja final</t>
        </is>
      </c>
    </row>
    <row r="111">
      <c r="B111" s="25">
        <f>Base!C6</f>
        <v/>
      </c>
      <c r="C111" s="21">
        <f>CHOOSE($B$4,Pesimista!C15,Base!C15,Optimista!C15)</f>
        <v/>
      </c>
      <c r="D111" s="21">
        <f>CHOOSE($B$4,Pesimista!C26,Base!C26,Optimista!C26)</f>
        <v/>
      </c>
      <c r="E111" s="21">
        <f>CHOOSE($B$4,Pesimista!C32,Base!C32,Optimista!C32)</f>
        <v/>
      </c>
      <c r="F111" s="21">
        <f>CHOOSE($B$4,Pesimista!C48,Base!C48,Optimista!C48)</f>
        <v/>
      </c>
    </row>
    <row r="112">
      <c r="B112" s="25">
        <f>Base!D6</f>
        <v/>
      </c>
      <c r="C112" s="21">
        <f>CHOOSE($B$4,Pesimista!D15,Base!D15,Optimista!D15)</f>
        <v/>
      </c>
      <c r="D112" s="21">
        <f>CHOOSE($B$4,Pesimista!D26,Base!D26,Optimista!D26)</f>
        <v/>
      </c>
      <c r="E112" s="21">
        <f>CHOOSE($B$4,Pesimista!D32,Base!D32,Optimista!D32)</f>
        <v/>
      </c>
      <c r="F112" s="21">
        <f>CHOOSE($B$4,Pesimista!D48,Base!D48,Optimista!D48)</f>
        <v/>
      </c>
    </row>
    <row r="113">
      <c r="B113" s="25">
        <f>Base!E6</f>
        <v/>
      </c>
      <c r="C113" s="21">
        <f>CHOOSE($B$4,Pesimista!E15,Base!E15,Optimista!E15)</f>
        <v/>
      </c>
      <c r="D113" s="21">
        <f>CHOOSE($B$4,Pesimista!E26,Base!E26,Optimista!E26)</f>
        <v/>
      </c>
      <c r="E113" s="21">
        <f>CHOOSE($B$4,Pesimista!E32,Base!E32,Optimista!E32)</f>
        <v/>
      </c>
      <c r="F113" s="21">
        <f>CHOOSE($B$4,Pesimista!E48,Base!E48,Optimista!E48)</f>
        <v/>
      </c>
    </row>
    <row r="114">
      <c r="B114" s="25">
        <f>Base!F6</f>
        <v/>
      </c>
      <c r="C114" s="21">
        <f>CHOOSE($B$4,Pesimista!F15,Base!F15,Optimista!F15)</f>
        <v/>
      </c>
      <c r="D114" s="21">
        <f>CHOOSE($B$4,Pesimista!F26,Base!F26,Optimista!F26)</f>
        <v/>
      </c>
      <c r="E114" s="21">
        <f>CHOOSE($B$4,Pesimista!F32,Base!F32,Optimista!F32)</f>
        <v/>
      </c>
      <c r="F114" s="21">
        <f>CHOOSE($B$4,Pesimista!F48,Base!F48,Optimista!F48)</f>
        <v/>
      </c>
    </row>
    <row r="115">
      <c r="B115" s="25">
        <f>Base!G6</f>
        <v/>
      </c>
      <c r="C115" s="21">
        <f>CHOOSE($B$4,Pesimista!G15,Base!G15,Optimista!G15)</f>
        <v/>
      </c>
      <c r="D115" s="21">
        <f>CHOOSE($B$4,Pesimista!G26,Base!G26,Optimista!G26)</f>
        <v/>
      </c>
      <c r="E115" s="21">
        <f>CHOOSE($B$4,Pesimista!G32,Base!G32,Optimista!G32)</f>
        <v/>
      </c>
      <c r="F115" s="21">
        <f>CHOOSE($B$4,Pesimista!G48,Base!G48,Optimista!G48)</f>
        <v/>
      </c>
    </row>
    <row r="116">
      <c r="B116" s="25">
        <f>Base!H6</f>
        <v/>
      </c>
      <c r="C116" s="21">
        <f>CHOOSE($B$4,Pesimista!H15,Base!H15,Optimista!H15)</f>
        <v/>
      </c>
      <c r="D116" s="21">
        <f>CHOOSE($B$4,Pesimista!H26,Base!H26,Optimista!H26)</f>
        <v/>
      </c>
      <c r="E116" s="21">
        <f>CHOOSE($B$4,Pesimista!H32,Base!H32,Optimista!H32)</f>
        <v/>
      </c>
      <c r="F116" s="21">
        <f>CHOOSE($B$4,Pesimista!H48,Base!H48,Optimista!H48)</f>
        <v/>
      </c>
    </row>
    <row r="117">
      <c r="B117" s="25">
        <f>Base!I6</f>
        <v/>
      </c>
      <c r="C117" s="21">
        <f>CHOOSE($B$4,Pesimista!I15,Base!I15,Optimista!I15)</f>
        <v/>
      </c>
      <c r="D117" s="21">
        <f>CHOOSE($B$4,Pesimista!I26,Base!I26,Optimista!I26)</f>
        <v/>
      </c>
      <c r="E117" s="21">
        <f>CHOOSE($B$4,Pesimista!I32,Base!I32,Optimista!I32)</f>
        <v/>
      </c>
      <c r="F117" s="21">
        <f>CHOOSE($B$4,Pesimista!I48,Base!I48,Optimista!I48)</f>
        <v/>
      </c>
    </row>
    <row r="118">
      <c r="B118" s="25">
        <f>Base!J6</f>
        <v/>
      </c>
      <c r="C118" s="21">
        <f>CHOOSE($B$4,Pesimista!J15,Base!J15,Optimista!J15)</f>
        <v/>
      </c>
      <c r="D118" s="21">
        <f>CHOOSE($B$4,Pesimista!J26,Base!J26,Optimista!J26)</f>
        <v/>
      </c>
      <c r="E118" s="21">
        <f>CHOOSE($B$4,Pesimista!J32,Base!J32,Optimista!J32)</f>
        <v/>
      </c>
      <c r="F118" s="21">
        <f>CHOOSE($B$4,Pesimista!J48,Base!J48,Optimista!J48)</f>
        <v/>
      </c>
    </row>
    <row r="119">
      <c r="B119" s="25">
        <f>Base!K6</f>
        <v/>
      </c>
      <c r="C119" s="21">
        <f>CHOOSE($B$4,Pesimista!K15,Base!K15,Optimista!K15)</f>
        <v/>
      </c>
      <c r="D119" s="21">
        <f>CHOOSE($B$4,Pesimista!K26,Base!K26,Optimista!K26)</f>
        <v/>
      </c>
      <c r="E119" s="21">
        <f>CHOOSE($B$4,Pesimista!K32,Base!K32,Optimista!K32)</f>
        <v/>
      </c>
      <c r="F119" s="21">
        <f>CHOOSE($B$4,Pesimista!K48,Base!K48,Optimista!K48)</f>
        <v/>
      </c>
    </row>
    <row r="120">
      <c r="B120" s="25">
        <f>Base!L6</f>
        <v/>
      </c>
      <c r="C120" s="21">
        <f>CHOOSE($B$4,Pesimista!L15,Base!L15,Optimista!L15)</f>
        <v/>
      </c>
      <c r="D120" s="21">
        <f>CHOOSE($B$4,Pesimista!L26,Base!L26,Optimista!L26)</f>
        <v/>
      </c>
      <c r="E120" s="21">
        <f>CHOOSE($B$4,Pesimista!L32,Base!L32,Optimista!L32)</f>
        <v/>
      </c>
      <c r="F120" s="21">
        <f>CHOOSE($B$4,Pesimista!L48,Base!L48,Optimista!L48)</f>
        <v/>
      </c>
    </row>
    <row r="121">
      <c r="B121" s="25">
        <f>Base!M6</f>
        <v/>
      </c>
      <c r="C121" s="21">
        <f>CHOOSE($B$4,Pesimista!M15,Base!M15,Optimista!M15)</f>
        <v/>
      </c>
      <c r="D121" s="21">
        <f>CHOOSE($B$4,Pesimista!M26,Base!M26,Optimista!M26)</f>
        <v/>
      </c>
      <c r="E121" s="21">
        <f>CHOOSE($B$4,Pesimista!M32,Base!M32,Optimista!M32)</f>
        <v/>
      </c>
      <c r="F121" s="21">
        <f>CHOOSE($B$4,Pesimista!M48,Base!M48,Optimista!M48)</f>
        <v/>
      </c>
    </row>
    <row r="122">
      <c r="B122" s="25">
        <f>Base!N6</f>
        <v/>
      </c>
      <c r="C122" s="21">
        <f>CHOOSE($B$4,Pesimista!N15,Base!N15,Optimista!N15)</f>
        <v/>
      </c>
      <c r="D122" s="21">
        <f>CHOOSE($B$4,Pesimista!N26,Base!N26,Optimista!N26)</f>
        <v/>
      </c>
      <c r="E122" s="21">
        <f>CHOOSE($B$4,Pesimista!N32,Base!N32,Optimista!N32)</f>
        <v/>
      </c>
      <c r="F122" s="21">
        <f>CHOOSE($B$4,Pesimista!N48,Base!N48,Optimista!N48)</f>
        <v/>
      </c>
    </row>
    <row r="123">
      <c r="B123" s="25">
        <f>Base!O6</f>
        <v/>
      </c>
      <c r="C123" s="21">
        <f>CHOOSE($B$4,Pesimista!O15,Base!O15,Optimista!O15)</f>
        <v/>
      </c>
      <c r="D123" s="21">
        <f>CHOOSE($B$4,Pesimista!O26,Base!O26,Optimista!O26)</f>
        <v/>
      </c>
      <c r="E123" s="21">
        <f>CHOOSE($B$4,Pesimista!O32,Base!O32,Optimista!O32)</f>
        <v/>
      </c>
      <c r="F123" s="21">
        <f>CHOOSE($B$4,Pesimista!O48,Base!O48,Optimista!O48)</f>
        <v/>
      </c>
    </row>
    <row r="124">
      <c r="B124" s="25">
        <f>Base!P6</f>
        <v/>
      </c>
      <c r="C124" s="21">
        <f>CHOOSE($B$4,Pesimista!P15,Base!P15,Optimista!P15)</f>
        <v/>
      </c>
      <c r="D124" s="21">
        <f>CHOOSE($B$4,Pesimista!P26,Base!P26,Optimista!P26)</f>
        <v/>
      </c>
      <c r="E124" s="21">
        <f>CHOOSE($B$4,Pesimista!P32,Base!P32,Optimista!P32)</f>
        <v/>
      </c>
      <c r="F124" s="21">
        <f>CHOOSE($B$4,Pesimista!P48,Base!P48,Optimista!P48)</f>
        <v/>
      </c>
    </row>
    <row r="125">
      <c r="B125" s="25">
        <f>Base!Q6</f>
        <v/>
      </c>
      <c r="C125" s="21">
        <f>CHOOSE($B$4,Pesimista!Q15,Base!Q15,Optimista!Q15)</f>
        <v/>
      </c>
      <c r="D125" s="21">
        <f>CHOOSE($B$4,Pesimista!Q26,Base!Q26,Optimista!Q26)</f>
        <v/>
      </c>
      <c r="E125" s="21">
        <f>CHOOSE($B$4,Pesimista!Q32,Base!Q32,Optimista!Q32)</f>
        <v/>
      </c>
      <c r="F125" s="21">
        <f>CHOOSE($B$4,Pesimista!Q48,Base!Q48,Optimista!Q48)</f>
        <v/>
      </c>
    </row>
    <row r="126">
      <c r="B126" s="25">
        <f>Base!R6</f>
        <v/>
      </c>
      <c r="C126" s="21">
        <f>CHOOSE($B$4,Pesimista!R15,Base!R15,Optimista!R15)</f>
        <v/>
      </c>
      <c r="D126" s="21">
        <f>CHOOSE($B$4,Pesimista!R26,Base!R26,Optimista!R26)</f>
        <v/>
      </c>
      <c r="E126" s="21">
        <f>CHOOSE($B$4,Pesimista!R32,Base!R32,Optimista!R32)</f>
        <v/>
      </c>
      <c r="F126" s="21">
        <f>CHOOSE($B$4,Pesimista!R48,Base!R48,Optimista!R48)</f>
        <v/>
      </c>
    </row>
    <row r="127">
      <c r="B127" s="25">
        <f>Base!S6</f>
        <v/>
      </c>
      <c r="C127" s="21">
        <f>CHOOSE($B$4,Pesimista!S15,Base!S15,Optimista!S15)</f>
        <v/>
      </c>
      <c r="D127" s="21">
        <f>CHOOSE($B$4,Pesimista!S26,Base!S26,Optimista!S26)</f>
        <v/>
      </c>
      <c r="E127" s="21">
        <f>CHOOSE($B$4,Pesimista!S32,Base!S32,Optimista!S32)</f>
        <v/>
      </c>
      <c r="F127" s="21">
        <f>CHOOSE($B$4,Pesimista!S48,Base!S48,Optimista!S48)</f>
        <v/>
      </c>
    </row>
    <row r="128">
      <c r="B128" s="25">
        <f>Base!T6</f>
        <v/>
      </c>
      <c r="C128" s="21">
        <f>CHOOSE($B$4,Pesimista!T15,Base!T15,Optimista!T15)</f>
        <v/>
      </c>
      <c r="D128" s="21">
        <f>CHOOSE($B$4,Pesimista!T26,Base!T26,Optimista!T26)</f>
        <v/>
      </c>
      <c r="E128" s="21">
        <f>CHOOSE($B$4,Pesimista!T32,Base!T32,Optimista!T32)</f>
        <v/>
      </c>
      <c r="F128" s="21">
        <f>CHOOSE($B$4,Pesimista!T48,Base!T48,Optimista!T48)</f>
        <v/>
      </c>
    </row>
    <row r="129">
      <c r="B129" s="25">
        <f>Base!U6</f>
        <v/>
      </c>
      <c r="C129" s="21">
        <f>CHOOSE($B$4,Pesimista!U15,Base!U15,Optimista!U15)</f>
        <v/>
      </c>
      <c r="D129" s="21">
        <f>CHOOSE($B$4,Pesimista!U26,Base!U26,Optimista!U26)</f>
        <v/>
      </c>
      <c r="E129" s="21">
        <f>CHOOSE($B$4,Pesimista!U32,Base!U32,Optimista!U32)</f>
        <v/>
      </c>
      <c r="F129" s="21">
        <f>CHOOSE($B$4,Pesimista!U48,Base!U48,Optimista!U48)</f>
        <v/>
      </c>
    </row>
    <row r="130">
      <c r="B130" s="25">
        <f>Base!V6</f>
        <v/>
      </c>
      <c r="C130" s="21">
        <f>CHOOSE($B$4,Pesimista!V15,Base!V15,Optimista!V15)</f>
        <v/>
      </c>
      <c r="D130" s="21">
        <f>CHOOSE($B$4,Pesimista!V26,Base!V26,Optimista!V26)</f>
        <v/>
      </c>
      <c r="E130" s="21">
        <f>CHOOSE($B$4,Pesimista!V32,Base!V32,Optimista!V32)</f>
        <v/>
      </c>
      <c r="F130" s="21">
        <f>CHOOSE($B$4,Pesimista!V48,Base!V48,Optimista!V48)</f>
        <v/>
      </c>
    </row>
    <row r="131">
      <c r="B131" s="25">
        <f>Base!W6</f>
        <v/>
      </c>
      <c r="C131" s="21">
        <f>CHOOSE($B$4,Pesimista!W15,Base!W15,Optimista!W15)</f>
        <v/>
      </c>
      <c r="D131" s="21">
        <f>CHOOSE($B$4,Pesimista!W26,Base!W26,Optimista!W26)</f>
        <v/>
      </c>
      <c r="E131" s="21">
        <f>CHOOSE($B$4,Pesimista!W32,Base!W32,Optimista!W32)</f>
        <v/>
      </c>
      <c r="F131" s="21">
        <f>CHOOSE($B$4,Pesimista!W48,Base!W48,Optimista!W48)</f>
        <v/>
      </c>
    </row>
    <row r="132">
      <c r="B132" s="25">
        <f>Base!X6</f>
        <v/>
      </c>
      <c r="C132" s="21">
        <f>CHOOSE($B$4,Pesimista!X15,Base!X15,Optimista!X15)</f>
        <v/>
      </c>
      <c r="D132" s="21">
        <f>CHOOSE($B$4,Pesimista!X26,Base!X26,Optimista!X26)</f>
        <v/>
      </c>
      <c r="E132" s="21">
        <f>CHOOSE($B$4,Pesimista!X32,Base!X32,Optimista!X32)</f>
        <v/>
      </c>
      <c r="F132" s="21">
        <f>CHOOSE($B$4,Pesimista!X48,Base!X48,Optimista!X48)</f>
        <v/>
      </c>
    </row>
    <row r="133">
      <c r="B133" s="25">
        <f>Base!Y6</f>
        <v/>
      </c>
      <c r="C133" s="21">
        <f>CHOOSE($B$4,Pesimista!Y15,Base!Y15,Optimista!Y15)</f>
        <v/>
      </c>
      <c r="D133" s="21">
        <f>CHOOSE($B$4,Pesimista!Y26,Base!Y26,Optimista!Y26)</f>
        <v/>
      </c>
      <c r="E133" s="21">
        <f>CHOOSE($B$4,Pesimista!Y32,Base!Y32,Optimista!Y32)</f>
        <v/>
      </c>
      <c r="F133" s="21">
        <f>CHOOSE($B$4,Pesimista!Y48,Base!Y48,Optimista!Y48)</f>
        <v/>
      </c>
    </row>
    <row r="134">
      <c r="B134" s="25">
        <f>Base!Z6</f>
        <v/>
      </c>
      <c r="C134" s="21">
        <f>CHOOSE($B$4,Pesimista!Z15,Base!Z15,Optimista!Z15)</f>
        <v/>
      </c>
      <c r="D134" s="21">
        <f>CHOOSE($B$4,Pesimista!Z26,Base!Z26,Optimista!Z26)</f>
        <v/>
      </c>
      <c r="E134" s="21">
        <f>CHOOSE($B$4,Pesimista!Z32,Base!Z32,Optimista!Z32)</f>
        <v/>
      </c>
      <c r="F134" s="21">
        <f>CHOOSE($B$4,Pesimista!Z48,Base!Z48,Optimista!Z48)</f>
        <v/>
      </c>
    </row>
    <row r="135">
      <c r="B135" s="25">
        <f>Base!AA6</f>
        <v/>
      </c>
      <c r="C135" s="21">
        <f>CHOOSE($B$4,Pesimista!AA15,Base!AA15,Optimista!AA15)</f>
        <v/>
      </c>
      <c r="D135" s="21">
        <f>CHOOSE($B$4,Pesimista!AA26,Base!AA26,Optimista!AA26)</f>
        <v/>
      </c>
      <c r="E135" s="21">
        <f>CHOOSE($B$4,Pesimista!AA32,Base!AA32,Optimista!AA32)</f>
        <v/>
      </c>
      <c r="F135" s="21">
        <f>CHOOSE($B$4,Pesimista!AA48,Base!AA48,Optimista!AA48)</f>
        <v/>
      </c>
    </row>
    <row r="136">
      <c r="B136" s="25">
        <f>Base!AB6</f>
        <v/>
      </c>
      <c r="C136" s="21">
        <f>CHOOSE($B$4,Pesimista!AB15,Base!AB15,Optimista!AB15)</f>
        <v/>
      </c>
      <c r="D136" s="21">
        <f>CHOOSE($B$4,Pesimista!AB26,Base!AB26,Optimista!AB26)</f>
        <v/>
      </c>
      <c r="E136" s="21">
        <f>CHOOSE($B$4,Pesimista!AB32,Base!AB32,Optimista!AB32)</f>
        <v/>
      </c>
      <c r="F136" s="21">
        <f>CHOOSE($B$4,Pesimista!AB48,Base!AB48,Optimista!AB48)</f>
        <v/>
      </c>
    </row>
    <row r="137">
      <c r="B137" s="25">
        <f>Base!AC6</f>
        <v/>
      </c>
      <c r="C137" s="21">
        <f>CHOOSE($B$4,Pesimista!AC15,Base!AC15,Optimista!AC15)</f>
        <v/>
      </c>
      <c r="D137" s="21">
        <f>CHOOSE($B$4,Pesimista!AC26,Base!AC26,Optimista!AC26)</f>
        <v/>
      </c>
      <c r="E137" s="21">
        <f>CHOOSE($B$4,Pesimista!AC32,Base!AC32,Optimista!AC32)</f>
        <v/>
      </c>
      <c r="F137" s="21">
        <f>CHOOSE($B$4,Pesimista!AC48,Base!AC48,Optimista!AC48)</f>
        <v/>
      </c>
    </row>
    <row r="138">
      <c r="B138" s="25">
        <f>Base!AD6</f>
        <v/>
      </c>
      <c r="C138" s="21">
        <f>CHOOSE($B$4,Pesimista!AD15,Base!AD15,Optimista!AD15)</f>
        <v/>
      </c>
      <c r="D138" s="21">
        <f>CHOOSE($B$4,Pesimista!AD26,Base!AD26,Optimista!AD26)</f>
        <v/>
      </c>
      <c r="E138" s="21">
        <f>CHOOSE($B$4,Pesimista!AD32,Base!AD32,Optimista!AD32)</f>
        <v/>
      </c>
      <c r="F138" s="21">
        <f>CHOOSE($B$4,Pesimista!AD48,Base!AD48,Optimista!AD48)</f>
        <v/>
      </c>
    </row>
    <row r="139">
      <c r="B139" s="25">
        <f>Base!AE6</f>
        <v/>
      </c>
      <c r="C139" s="21">
        <f>CHOOSE($B$4,Pesimista!AE15,Base!AE15,Optimista!AE15)</f>
        <v/>
      </c>
      <c r="D139" s="21">
        <f>CHOOSE($B$4,Pesimista!AE26,Base!AE26,Optimista!AE26)</f>
        <v/>
      </c>
      <c r="E139" s="21">
        <f>CHOOSE($B$4,Pesimista!AE32,Base!AE32,Optimista!AE32)</f>
        <v/>
      </c>
      <c r="F139" s="21">
        <f>CHOOSE($B$4,Pesimista!AE48,Base!AE48,Optimista!AE48)</f>
        <v/>
      </c>
    </row>
    <row r="140">
      <c r="B140" s="25">
        <f>Base!AF6</f>
        <v/>
      </c>
      <c r="C140" s="21">
        <f>CHOOSE($B$4,Pesimista!AF15,Base!AF15,Optimista!AF15)</f>
        <v/>
      </c>
      <c r="D140" s="21">
        <f>CHOOSE($B$4,Pesimista!AF26,Base!AF26,Optimista!AF26)</f>
        <v/>
      </c>
      <c r="E140" s="21">
        <f>CHOOSE($B$4,Pesimista!AF32,Base!AF32,Optimista!AF32)</f>
        <v/>
      </c>
      <c r="F140" s="21">
        <f>CHOOSE($B$4,Pesimista!AF48,Base!AF48,Optimista!AF48)</f>
        <v/>
      </c>
    </row>
    <row r="141">
      <c r="B141" s="25">
        <f>Base!AG6</f>
        <v/>
      </c>
      <c r="C141" s="21">
        <f>CHOOSE($B$4,Pesimista!AG15,Base!AG15,Optimista!AG15)</f>
        <v/>
      </c>
      <c r="D141" s="21">
        <f>CHOOSE($B$4,Pesimista!AG26,Base!AG26,Optimista!AG26)</f>
        <v/>
      </c>
      <c r="E141" s="21">
        <f>CHOOSE($B$4,Pesimista!AG32,Base!AG32,Optimista!AG32)</f>
        <v/>
      </c>
      <c r="F141" s="21">
        <f>CHOOSE($B$4,Pesimista!AG48,Base!AG48,Optimista!AG48)</f>
        <v/>
      </c>
    </row>
    <row r="142">
      <c r="B142" s="25">
        <f>Base!AH6</f>
        <v/>
      </c>
      <c r="C142" s="21">
        <f>CHOOSE($B$4,Pesimista!AH15,Base!AH15,Optimista!AH15)</f>
        <v/>
      </c>
      <c r="D142" s="21">
        <f>CHOOSE($B$4,Pesimista!AH26,Base!AH26,Optimista!AH26)</f>
        <v/>
      </c>
      <c r="E142" s="21">
        <f>CHOOSE($B$4,Pesimista!AH32,Base!AH32,Optimista!AH32)</f>
        <v/>
      </c>
      <c r="F142" s="21">
        <f>CHOOSE($B$4,Pesimista!AH48,Base!AH48,Optimista!AH48)</f>
        <v/>
      </c>
    </row>
    <row r="143">
      <c r="B143" s="25">
        <f>Base!AI6</f>
        <v/>
      </c>
      <c r="C143" s="21">
        <f>CHOOSE($B$4,Pesimista!AI15,Base!AI15,Optimista!AI15)</f>
        <v/>
      </c>
      <c r="D143" s="21">
        <f>CHOOSE($B$4,Pesimista!AI26,Base!AI26,Optimista!AI26)</f>
        <v/>
      </c>
      <c r="E143" s="21">
        <f>CHOOSE($B$4,Pesimista!AI32,Base!AI32,Optimista!AI32)</f>
        <v/>
      </c>
      <c r="F143" s="21">
        <f>CHOOSE($B$4,Pesimista!AI48,Base!AI48,Optimista!AI48)</f>
        <v/>
      </c>
    </row>
    <row r="144">
      <c r="B144" s="25">
        <f>Base!AJ6</f>
        <v/>
      </c>
      <c r="C144" s="21">
        <f>CHOOSE($B$4,Pesimista!AJ15,Base!AJ15,Optimista!AJ15)</f>
        <v/>
      </c>
      <c r="D144" s="21">
        <f>CHOOSE($B$4,Pesimista!AJ26,Base!AJ26,Optimista!AJ26)</f>
        <v/>
      </c>
      <c r="E144" s="21">
        <f>CHOOSE($B$4,Pesimista!AJ32,Base!AJ32,Optimista!AJ32)</f>
        <v/>
      </c>
      <c r="F144" s="21">
        <f>CHOOSE($B$4,Pesimista!AJ48,Base!AJ48,Optimista!AJ48)</f>
        <v/>
      </c>
    </row>
    <row r="145">
      <c r="B145" s="25">
        <f>Base!AK6</f>
        <v/>
      </c>
      <c r="C145" s="21">
        <f>CHOOSE($B$4,Pesimista!AK15,Base!AK15,Optimista!AK15)</f>
        <v/>
      </c>
      <c r="D145" s="21">
        <f>CHOOSE($B$4,Pesimista!AK26,Base!AK26,Optimista!AK26)</f>
        <v/>
      </c>
      <c r="E145" s="21">
        <f>CHOOSE($B$4,Pesimista!AK32,Base!AK32,Optimista!AK32)</f>
        <v/>
      </c>
      <c r="F145" s="21">
        <f>CHOOSE($B$4,Pesimista!AK48,Base!AK48,Optimista!AK48)</f>
        <v/>
      </c>
    </row>
    <row r="146">
      <c r="B146" s="25">
        <f>Base!AL6</f>
        <v/>
      </c>
      <c r="C146" s="21">
        <f>CHOOSE($B$4,Pesimista!AL15,Base!AL15,Optimista!AL15)</f>
        <v/>
      </c>
      <c r="D146" s="21">
        <f>CHOOSE($B$4,Pesimista!AL26,Base!AL26,Optimista!AL26)</f>
        <v/>
      </c>
      <c r="E146" s="21">
        <f>CHOOSE($B$4,Pesimista!AL32,Base!AL32,Optimista!AL32)</f>
        <v/>
      </c>
      <c r="F146" s="21">
        <f>CHOOSE($B$4,Pesimista!AL48,Base!AL48,Optimista!AL48)</f>
        <v/>
      </c>
    </row>
    <row r="149">
      <c r="A149" s="24" t="inlineStr">
        <is>
          <t>Datos de gráficos · comparativa 2028</t>
        </is>
      </c>
    </row>
    <row r="150">
      <c r="A150" s="20" t="inlineStr">
        <is>
          <t>Escenario</t>
        </is>
      </c>
      <c r="B150" s="20" t="inlineStr">
        <is>
          <t>Ingresos</t>
        </is>
      </c>
      <c r="C150" s="20" t="inlineStr">
        <is>
          <t>EBITDA</t>
        </is>
      </c>
      <c r="D150" s="20" t="inlineStr">
        <is>
          <t>Beneficio neto</t>
        </is>
      </c>
      <c r="E150" s="20" t="inlineStr">
        <is>
          <t>Caja final</t>
        </is>
      </c>
    </row>
    <row r="151">
      <c r="A151" t="inlineStr">
        <is>
          <t>Pesimista</t>
        </is>
      </c>
      <c r="B151" s="21">
        <f>Pesimista!D76</f>
        <v/>
      </c>
      <c r="C151" s="21">
        <f>Pesimista!D86</f>
        <v/>
      </c>
      <c r="D151" s="21">
        <f>Pesimista!D92</f>
        <v/>
      </c>
      <c r="E151" s="21">
        <f>Pesimista!D98</f>
        <v/>
      </c>
    </row>
    <row r="152">
      <c r="A152" t="inlineStr">
        <is>
          <t>Base</t>
        </is>
      </c>
      <c r="B152" s="21">
        <f>Base!D76</f>
        <v/>
      </c>
      <c r="C152" s="21">
        <f>Base!D86</f>
        <v/>
      </c>
      <c r="D152" s="21">
        <f>Base!D92</f>
        <v/>
      </c>
      <c r="E152" s="21">
        <f>Base!D98</f>
        <v/>
      </c>
    </row>
    <row r="153">
      <c r="A153" t="inlineStr">
        <is>
          <t>Optimista</t>
        </is>
      </c>
      <c r="B153" s="21">
        <f>Optimista!D76</f>
        <v/>
      </c>
      <c r="C153" s="21">
        <f>Optimista!D86</f>
        <v/>
      </c>
      <c r="D153" s="21">
        <f>Optimista!D92</f>
        <v/>
      </c>
      <c r="E153" s="21">
        <f>Optimista!D98</f>
        <v/>
      </c>
    </row>
    <row r="156">
      <c r="A156" s="24" t="inlineStr">
        <is>
          <t>Datos de gráficos · productos Base 2028</t>
        </is>
      </c>
    </row>
    <row r="157">
      <c r="B157" s="20" t="inlineStr">
        <is>
          <t>Producto</t>
        </is>
      </c>
      <c r="C157" s="20" t="inlineStr">
        <is>
          <t>Ingresos</t>
        </is>
      </c>
    </row>
    <row r="158">
      <c r="B158" t="inlineStr">
        <is>
          <t>Espresso</t>
        </is>
      </c>
      <c r="C158" s="21">
        <f>Base!C140</f>
        <v/>
      </c>
    </row>
    <row r="159">
      <c r="B159" t="inlineStr">
        <is>
          <t>Flat white</t>
        </is>
      </c>
      <c r="C159" s="21">
        <f>Base!C141</f>
        <v/>
      </c>
    </row>
    <row r="160">
      <c r="B160" t="inlineStr">
        <is>
          <t>Cappuccino</t>
        </is>
      </c>
      <c r="C160" s="21">
        <f>Base!C142</f>
        <v/>
      </c>
    </row>
    <row r="161">
      <c r="B161" t="inlineStr">
        <is>
          <t>Latte</t>
        </is>
      </c>
      <c r="C161" s="21">
        <f>Base!C143</f>
        <v/>
      </c>
    </row>
    <row r="162">
      <c r="B162" t="inlineStr">
        <is>
          <t>Cold brew</t>
        </is>
      </c>
      <c r="C162" s="21">
        <f>Base!C144</f>
        <v/>
      </c>
    </row>
    <row r="163">
      <c r="B163" t="inlineStr">
        <is>
          <t>Croissant</t>
        </is>
      </c>
      <c r="C163" s="21">
        <f>Base!C145</f>
        <v/>
      </c>
    </row>
    <row r="164">
      <c r="B164" t="inlineStr">
        <is>
          <t>Tostada</t>
        </is>
      </c>
      <c r="C164" s="21">
        <f>Base!C146</f>
        <v/>
      </c>
    </row>
    <row r="165">
      <c r="B165" t="inlineStr">
        <is>
          <t>Bolsa café 250 g</t>
        </is>
      </c>
      <c r="C165" s="21">
        <f>Base!C147</f>
        <v/>
      </c>
    </row>
    <row r="166">
      <c r="B166" s="26" t="inlineStr">
        <is>
          <t>Total</t>
        </is>
      </c>
      <c r="C166" s="27">
        <f>SUM(C158:C165)</f>
        <v/>
      </c>
    </row>
    <row r="167">
      <c r="A167" s="24" t="inlineStr">
        <is>
          <t>Datos de gráficos · estructura de costes Base 2026</t>
        </is>
      </c>
    </row>
    <row r="168">
      <c r="B168" s="20" t="inlineStr">
        <is>
          <t>Categoría</t>
        </is>
      </c>
      <c r="C168" s="20" t="inlineStr">
        <is>
          <t>Importe</t>
        </is>
      </c>
    </row>
    <row r="169">
      <c r="B169" t="inlineStr">
        <is>
          <t>Producto</t>
        </is>
      </c>
      <c r="C169" s="21">
        <f>Base!B77</f>
        <v/>
      </c>
    </row>
    <row r="170">
      <c r="B170" t="inlineStr">
        <is>
          <t>Personal</t>
        </is>
      </c>
      <c r="C170" s="21">
        <f>Base!B79</f>
        <v/>
      </c>
    </row>
    <row r="171">
      <c r="B171" t="inlineStr">
        <is>
          <t>Local</t>
        </is>
      </c>
      <c r="C171" s="21">
        <f>Base!B80+Base!B81+Base!B82</f>
        <v/>
      </c>
    </row>
    <row r="172">
      <c r="B172" t="inlineStr">
        <is>
          <t>Marketing</t>
        </is>
      </c>
      <c r="C172" s="21">
        <f>Base!B83+Base!B84</f>
        <v/>
      </c>
    </row>
    <row r="173">
      <c r="B173" t="inlineStr">
        <is>
          <t>Otros</t>
        </is>
      </c>
      <c r="C173" s="21">
        <f>Base!B85</f>
        <v/>
      </c>
    </row>
    <row r="174">
      <c r="B174" s="26" t="inlineStr">
        <is>
          <t>Total</t>
        </is>
      </c>
      <c r="C174" s="27">
        <f>SUM(C169:C173)</f>
        <v/>
      </c>
    </row>
  </sheetData>
  <mergeCells count="3">
    <mergeCell ref="A16:K16"/>
    <mergeCell ref="A5:K5"/>
    <mergeCell ref="A21:K21"/>
  </mergeCells>
  <dataValidations count="1">
    <dataValidation sqref="B4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O75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2" customWidth="1" min="15" max="15"/>
  </cols>
  <sheetData>
    <row r="1">
      <c r="A1" s="28" t="inlineStr">
        <is>
          <t>Supuestos</t>
        </is>
      </c>
    </row>
    <row r="2">
      <c r="A2" s="8" t="inlineStr">
        <is>
          <t>Todo lo que se puede cambiar vive aquí. Las celdas amarillas son entradas; los checks, fórmulas.</t>
        </is>
      </c>
    </row>
    <row r="4" ht="20" customHeight="1">
      <c r="A4" s="18" t="inlineStr">
        <is>
          <t>IDENTIDAD Y CALENDARIO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</row>
    <row r="5">
      <c r="A5" s="6" t="inlineStr">
        <is>
          <t>Nombre</t>
        </is>
      </c>
      <c r="B5" s="7" t="inlineStr">
        <is>
          <t>Cafetería Aurora</t>
        </is>
      </c>
    </row>
    <row r="6">
      <c r="A6" s="6" t="inlineStr">
        <is>
          <t>Moneda</t>
        </is>
      </c>
      <c r="B6" s="7" t="inlineStr">
        <is>
          <t>EUR</t>
        </is>
      </c>
    </row>
    <row r="7">
      <c r="A7" s="6" t="inlineStr">
        <is>
          <t>Inicio</t>
        </is>
      </c>
      <c r="B7" s="29" t="n">
        <v>46023</v>
      </c>
    </row>
    <row r="8">
      <c r="A8" s="6" t="inlineStr">
        <is>
          <t>Meses</t>
        </is>
      </c>
      <c r="B8" s="30" t="n">
        <v>36</v>
      </c>
    </row>
    <row r="9">
      <c r="A9" s="6" t="inlineStr">
        <is>
          <t>Año base</t>
        </is>
      </c>
      <c r="B9" s="30" t="n">
        <v>2026</v>
      </c>
    </row>
    <row r="10">
      <c r="A10" s="6" t="inlineStr">
        <is>
          <t>Modelo</t>
        </is>
      </c>
      <c r="B10" s="7" t="inlineStr">
        <is>
          <t>Mensual, 36 meses</t>
        </is>
      </c>
    </row>
    <row r="12" ht="20" customHeight="1">
      <c r="A12" s="18" t="inlineStr">
        <is>
          <t>DEMANDA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>
      <c r="A13" s="6" t="inlineStr">
        <is>
          <t>Tickets/día en régimen</t>
        </is>
      </c>
      <c r="B13" s="31" t="n">
        <v>360</v>
      </c>
    </row>
    <row r="14">
      <c r="A14" s="6" t="inlineStr">
        <is>
          <t>Ítems por ticket</t>
        </is>
      </c>
      <c r="B14" s="32" t="n">
        <v>1.35</v>
      </c>
    </row>
    <row r="15">
      <c r="A15" s="6" t="inlineStr">
        <is>
          <t>Días operativos al año</t>
        </is>
      </c>
      <c r="B15" s="33">
        <f>SUM(C20:N20)</f>
        <v/>
      </c>
    </row>
    <row r="17" ht="20" customHeight="1">
      <c r="A17" s="18" t="inlineStr">
        <is>
          <t>ESTACIONALIDAD, DÍAS OPERATIVOS Y RAMPA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>
      <c r="A18" s="20" t="inlineStr">
        <is>
          <t>Concepto</t>
        </is>
      </c>
      <c r="B18" s="20" t="inlineStr">
        <is>
          <t>Unidad</t>
        </is>
      </c>
      <c r="C18" s="20" t="inlineStr">
        <is>
          <t>ene</t>
        </is>
      </c>
      <c r="D18" s="20" t="inlineStr">
        <is>
          <t>feb</t>
        </is>
      </c>
      <c r="E18" s="20" t="inlineStr">
        <is>
          <t>mar</t>
        </is>
      </c>
      <c r="F18" s="20" t="inlineStr">
        <is>
          <t>abr</t>
        </is>
      </c>
      <c r="G18" s="20" t="inlineStr">
        <is>
          <t>may</t>
        </is>
      </c>
      <c r="H18" s="20" t="inlineStr">
        <is>
          <t>jun</t>
        </is>
      </c>
      <c r="I18" s="20" t="inlineStr">
        <is>
          <t>jul</t>
        </is>
      </c>
      <c r="J18" s="20" t="inlineStr">
        <is>
          <t>ago</t>
        </is>
      </c>
      <c r="K18" s="20" t="inlineStr">
        <is>
          <t>sep</t>
        </is>
      </c>
      <c r="L18" s="20" t="inlineStr">
        <is>
          <t>oct</t>
        </is>
      </c>
      <c r="M18" s="20" t="inlineStr">
        <is>
          <t>nov</t>
        </is>
      </c>
      <c r="N18" s="20" t="inlineStr">
        <is>
          <t>dic</t>
        </is>
      </c>
      <c r="O18" s="20" t="inlineStr">
        <is>
          <t>Total</t>
        </is>
      </c>
    </row>
    <row r="19">
      <c r="A19" s="6" t="inlineStr">
        <is>
          <t>Estacionalidad</t>
        </is>
      </c>
      <c r="B19" s="34" t="inlineStr">
        <is>
          <t>factor</t>
        </is>
      </c>
      <c r="C19" s="35" t="n">
        <v>0.92</v>
      </c>
      <c r="D19" s="35" t="n">
        <v>0.93</v>
      </c>
      <c r="E19" s="35" t="n">
        <v>1.02</v>
      </c>
      <c r="F19" s="35" t="n">
        <v>1.04</v>
      </c>
      <c r="G19" s="35" t="n">
        <v>1.08</v>
      </c>
      <c r="H19" s="35" t="n">
        <v>1.06</v>
      </c>
      <c r="I19" s="35" t="n">
        <v>0.88</v>
      </c>
      <c r="J19" s="35" t="n">
        <v>0.72</v>
      </c>
      <c r="K19" s="35" t="n">
        <v>1.06</v>
      </c>
      <c r="L19" s="35" t="n">
        <v>1.09</v>
      </c>
      <c r="M19" s="35" t="n">
        <v>1.04</v>
      </c>
      <c r="N19" s="35" t="n">
        <v>1.16</v>
      </c>
      <c r="O19" s="36">
        <f>SUM(C19:N19)</f>
        <v/>
      </c>
    </row>
    <row r="20">
      <c r="A20" s="6" t="inlineStr">
        <is>
          <t>Días operativos</t>
        </is>
      </c>
      <c r="B20" s="34" t="inlineStr">
        <is>
          <t>días</t>
        </is>
      </c>
      <c r="C20" s="30" t="n">
        <v>27</v>
      </c>
      <c r="D20" s="30" t="n">
        <v>24</v>
      </c>
      <c r="E20" s="30" t="n">
        <v>27</v>
      </c>
      <c r="F20" s="30" t="n">
        <v>26</v>
      </c>
      <c r="G20" s="30" t="n">
        <v>27</v>
      </c>
      <c r="H20" s="30" t="n">
        <v>26</v>
      </c>
      <c r="I20" s="30" t="n">
        <v>27</v>
      </c>
      <c r="J20" s="30" t="n">
        <v>24</v>
      </c>
      <c r="K20" s="30" t="n">
        <v>26</v>
      </c>
      <c r="L20" s="30" t="n">
        <v>27</v>
      </c>
      <c r="M20" s="30" t="n">
        <v>25</v>
      </c>
      <c r="N20" s="30" t="n">
        <v>26</v>
      </c>
      <c r="O20" s="37">
        <f>SUM(C20:N20)</f>
        <v/>
      </c>
    </row>
    <row r="21">
      <c r="A21" s="6" t="inlineStr">
        <is>
          <t>Rampa año 1</t>
        </is>
      </c>
      <c r="B21" s="34" t="inlineStr">
        <is>
          <t>factor</t>
        </is>
      </c>
      <c r="C21" s="35" t="n">
        <v>0.75</v>
      </c>
      <c r="D21" s="35" t="n">
        <v>0.82</v>
      </c>
      <c r="E21" s="35" t="n">
        <v>0.88</v>
      </c>
      <c r="F21" s="35" t="n">
        <v>0.93</v>
      </c>
      <c r="G21" s="35" t="n">
        <v>0.97</v>
      </c>
      <c r="H21" s="35" t="n">
        <v>1</v>
      </c>
      <c r="I21" s="35" t="n">
        <v>1</v>
      </c>
      <c r="J21" s="35" t="n">
        <v>1</v>
      </c>
      <c r="K21" s="35" t="n">
        <v>1</v>
      </c>
      <c r="L21" s="35" t="n">
        <v>1</v>
      </c>
      <c r="M21" s="35" t="n">
        <v>1</v>
      </c>
      <c r="N21" s="35" t="n">
        <v>1</v>
      </c>
      <c r="O21" s="36">
        <f>SUM(C21:N21)/12</f>
        <v/>
      </c>
    </row>
    <row r="22">
      <c r="A22" s="24" t="inlineStr">
        <is>
          <t>Nota: la estacionalidad suma 12,00 y los días 312. La rampa solo se aplica en 2026.</t>
        </is>
      </c>
    </row>
    <row r="25" ht="20" customHeight="1">
      <c r="A25" s="18" t="inlineStr">
        <is>
          <t>MATRIZ DE ESCENARIOS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>
      <c r="A26" s="20" t="inlineStr">
        <is>
          <t>#</t>
        </is>
      </c>
      <c r="B26" s="20" t="inlineStr">
        <is>
          <t>Variable</t>
        </is>
      </c>
      <c r="C26" s="20" t="inlineStr">
        <is>
          <t>Unidad</t>
        </is>
      </c>
      <c r="D26" s="20" t="inlineStr">
        <is>
          <t>Pesimista</t>
        </is>
      </c>
      <c r="E26" s="20" t="inlineStr">
        <is>
          <t>Base</t>
        </is>
      </c>
      <c r="F26" s="20" t="inlineStr">
        <is>
          <t>Optimista</t>
        </is>
      </c>
    </row>
    <row r="27">
      <c r="A27" s="38" t="n">
        <v>1</v>
      </c>
      <c r="B27" s="39" t="inlineStr">
        <is>
          <t>Factor de demanda año 1</t>
        </is>
      </c>
      <c r="C27" s="24" t="inlineStr">
        <is>
          <t>×</t>
        </is>
      </c>
      <c r="D27" s="32" t="n">
        <v>0.88</v>
      </c>
      <c r="E27" s="32" t="n">
        <v>1</v>
      </c>
      <c r="F27" s="32" t="n">
        <v>1.08</v>
      </c>
    </row>
    <row r="28">
      <c r="A28" s="38" t="n">
        <v>2</v>
      </c>
      <c r="B28" s="39" t="inlineStr">
        <is>
          <t>Crecimiento anual de demanda</t>
        </is>
      </c>
      <c r="C28" s="24" t="inlineStr">
        <is>
          <t>%</t>
        </is>
      </c>
      <c r="D28" s="40" t="n">
        <v>0.015</v>
      </c>
      <c r="E28" s="40" t="n">
        <v>0.04</v>
      </c>
      <c r="F28" s="40" t="n">
        <v>0.06</v>
      </c>
    </row>
    <row r="29">
      <c r="A29" s="38" t="n">
        <v>3</v>
      </c>
      <c r="B29" s="39" t="inlineStr">
        <is>
          <t>Crecimiento anual de precios</t>
        </is>
      </c>
      <c r="C29" s="24" t="inlineStr">
        <is>
          <t>%</t>
        </is>
      </c>
      <c r="D29" s="40" t="n">
        <v>0.015</v>
      </c>
      <c r="E29" s="40" t="n">
        <v>0.025</v>
      </c>
      <c r="F29" s="40" t="n">
        <v>0.032</v>
      </c>
    </row>
    <row r="30">
      <c r="A30" s="38" t="n">
        <v>4</v>
      </c>
      <c r="B30" s="39" t="inlineStr">
        <is>
          <t>Inflación anual de costes de producto</t>
        </is>
      </c>
      <c r="C30" s="24" t="inlineStr">
        <is>
          <t>%</t>
        </is>
      </c>
      <c r="D30" s="40" t="n">
        <v>0.045</v>
      </c>
      <c r="E30" s="40" t="n">
        <v>0.035</v>
      </c>
      <c r="F30" s="40" t="n">
        <v>0.028</v>
      </c>
    </row>
    <row r="31">
      <c r="A31" s="38" t="n">
        <v>5</v>
      </c>
      <c r="B31" s="39" t="inlineStr">
        <is>
          <t>Factor de personal</t>
        </is>
      </c>
      <c r="C31" s="24" t="inlineStr">
        <is>
          <t>×</t>
        </is>
      </c>
      <c r="D31" s="32" t="n">
        <v>1.03</v>
      </c>
      <c r="E31" s="32" t="n">
        <v>1</v>
      </c>
      <c r="F31" s="32" t="n">
        <v>0.98</v>
      </c>
    </row>
    <row r="32">
      <c r="A32" s="38" t="n">
        <v>6</v>
      </c>
      <c r="B32" s="39" t="inlineStr">
        <is>
          <t>Factor de alquiler</t>
        </is>
      </c>
      <c r="C32" s="24" t="inlineStr">
        <is>
          <t>×</t>
        </is>
      </c>
      <c r="D32" s="32" t="n">
        <v>1.05</v>
      </c>
      <c r="E32" s="32" t="n">
        <v>1</v>
      </c>
      <c r="F32" s="32" t="n">
        <v>0.96</v>
      </c>
    </row>
    <row r="33">
      <c r="A33" s="38" t="n">
        <v>7</v>
      </c>
      <c r="B33" s="39" t="inlineStr">
        <is>
          <t>Inflación de suministros y servicios</t>
        </is>
      </c>
      <c r="C33" s="24" t="inlineStr">
        <is>
          <t>%</t>
        </is>
      </c>
      <c r="D33" s="40" t="n">
        <v>0.06</v>
      </c>
      <c r="E33" s="40" t="n">
        <v>0.04</v>
      </c>
      <c r="F33" s="40" t="n">
        <v>0.03</v>
      </c>
    </row>
    <row r="34">
      <c r="A34" s="38" t="n">
        <v>8</v>
      </c>
      <c r="B34" s="39" t="inlineStr">
        <is>
          <t>Marketing variable</t>
        </is>
      </c>
      <c r="C34" s="24" t="inlineStr">
        <is>
          <t>% ingresos</t>
        </is>
      </c>
      <c r="D34" s="40" t="n">
        <v>0.02</v>
      </c>
      <c r="E34" s="40" t="n">
        <v>0.03</v>
      </c>
      <c r="F34" s="40" t="n">
        <v>0.04</v>
      </c>
    </row>
    <row r="35">
      <c r="A35" s="38" t="n">
        <v>9</v>
      </c>
      <c r="B35" s="39" t="inlineStr">
        <is>
          <t>Factor de otros gastos</t>
        </is>
      </c>
      <c r="C35" s="24" t="inlineStr">
        <is>
          <t>×</t>
        </is>
      </c>
      <c r="D35" s="32" t="n">
        <v>1.08</v>
      </c>
      <c r="E35" s="32" t="n">
        <v>1</v>
      </c>
      <c r="F35" s="32" t="n">
        <v>0.95</v>
      </c>
    </row>
    <row r="36">
      <c r="A36" s="38" t="n">
        <v>10</v>
      </c>
      <c r="B36" s="39" t="inlineStr">
        <is>
          <t>Crecimiento de otros gastos</t>
        </is>
      </c>
      <c r="C36" s="24" t="inlineStr">
        <is>
          <t>%</t>
        </is>
      </c>
      <c r="D36" s="40" t="n">
        <v>0.03</v>
      </c>
      <c r="E36" s="40" t="n">
        <v>0.025</v>
      </c>
      <c r="F36" s="40" t="n">
        <v>0.02</v>
      </c>
    </row>
    <row r="37">
      <c r="A37" s="24" t="inlineStr">
        <is>
          <t>Excepción intencional: marketing variable es más bajo en Pesimista (2 %) porque es una respuesta de gestión, no un coste externo.</t>
        </is>
      </c>
    </row>
    <row r="40" ht="20" customHeight="1">
      <c r="A40" s="18" t="inlineStr">
        <is>
          <t>FINANCIACIÓN Y CAJA INICIAL</t>
        </is>
      </c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>
      <c r="A41" s="6" t="inlineStr">
        <is>
          <t>Equity aportado</t>
        </is>
      </c>
      <c r="B41" s="41" t="n">
        <v>90000</v>
      </c>
    </row>
    <row r="42">
      <c r="A42" s="6" t="inlineStr">
        <is>
          <t>Préstamo</t>
        </is>
      </c>
      <c r="B42" s="41" t="n">
        <v>70000</v>
      </c>
    </row>
    <row r="43">
      <c r="A43" s="6" t="inlineStr">
        <is>
          <t>Tipo nominal anual</t>
        </is>
      </c>
      <c r="B43" s="40" t="n">
        <v>0.075</v>
      </c>
    </row>
    <row r="44">
      <c r="A44" s="6" t="inlineStr">
        <is>
          <t>Plazo</t>
        </is>
      </c>
      <c r="B44" s="30" t="n">
        <v>60</v>
      </c>
    </row>
    <row r="45">
      <c r="A45" s="6" t="inlineStr">
        <is>
          <t>Caja de apertura</t>
        </is>
      </c>
      <c r="B45" s="41" t="n">
        <v>21500</v>
      </c>
    </row>
    <row r="46">
      <c r="A46" s="6" t="inlineStr">
        <is>
          <t>Stock inicial (capital circulante t0)</t>
        </is>
      </c>
      <c r="B46" s="41" t="n">
        <v>6500</v>
      </c>
    </row>
    <row r="47">
      <c r="A47" s="6" t="inlineStr">
        <is>
          <t>Caja mínima de política</t>
        </is>
      </c>
      <c r="B47" s="41" t="n">
        <v>10000</v>
      </c>
    </row>
    <row r="48">
      <c r="A48" s="6" t="inlineStr">
        <is>
          <t>Cuota mensual del préstamo</t>
        </is>
      </c>
      <c r="B48" s="42">
        <f>PMT(B43/12,B44,-B42)</f>
        <v/>
      </c>
    </row>
    <row r="49">
      <c r="A49" s="24" t="inlineStr">
        <is>
          <t>La caja de apertura y el stock son usos financiados con equity y deuda; no son ingresos.</t>
        </is>
      </c>
    </row>
    <row r="52" ht="20" customHeight="1">
      <c r="A52" s="18" t="inlineStr">
        <is>
          <t>FISCALIDAD Y CAPITAL CIRCULANTE</t>
        </is>
      </c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>
      <c r="A53" s="6" t="inlineStr">
        <is>
          <t>Tipo de sociedades</t>
        </is>
      </c>
      <c r="B53" s="40" t="n">
        <v>0.25</v>
      </c>
    </row>
    <row r="54">
      <c r="A54" s="6" t="inlineStr">
        <is>
          <t>Días de inventario</t>
        </is>
      </c>
      <c r="B54" s="30" t="n">
        <v>18</v>
      </c>
    </row>
    <row r="55">
      <c r="A55" s="6" t="inlineStr">
        <is>
          <t>Días de proveedor</t>
        </is>
      </c>
      <c r="B55" s="30" t="n">
        <v>30</v>
      </c>
    </row>
    <row r="56">
      <c r="A56" s="6" t="inlineStr">
        <is>
          <t>Días de cobro</t>
        </is>
      </c>
      <c r="B56" s="30" t="n">
        <v>0</v>
      </c>
    </row>
    <row r="57">
      <c r="A57" s="24" t="inlineStr">
        <is>
          <t>Pérdidas compensables sin límite por ser pyme (&lt;1 M€). Provisión mensual = cuota anual / 12.</t>
        </is>
      </c>
    </row>
    <row r="60" ht="20" customHeight="1">
      <c r="A60" s="18" t="inlineStr">
        <is>
          <t>CRECIMIENTOS ESTRUCTURALES</t>
        </is>
      </c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</row>
    <row r="61">
      <c r="A61" s="6" t="inlineStr">
        <is>
          <t>Crecimiento anual del alquiler</t>
        </is>
      </c>
      <c r="B61" s="40" t="n">
        <v>0.02</v>
      </c>
    </row>
    <row r="62">
      <c r="A62" s="6" t="inlineStr">
        <is>
          <t>Crecimiento anual del marketing fijo</t>
        </is>
      </c>
      <c r="B62" s="40" t="n">
        <v>0.025</v>
      </c>
    </row>
    <row r="63">
      <c r="A63" s="24" t="inlineStr">
        <is>
          <t>La inflación de precios, costes y servicios vive en la matriz de escenarios; aquí solo los crecimientos estructurales.</t>
        </is>
      </c>
    </row>
    <row r="65" ht="20" customHeight="1">
      <c r="A65" s="18" t="inlineStr">
        <is>
          <t>CONTROLES DE INTEGRIDAD</t>
        </is>
      </c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</row>
    <row r="66">
      <c r="A66" s="20" t="inlineStr">
        <is>
          <t>Check</t>
        </is>
      </c>
      <c r="B66" s="20" t="inlineStr">
        <is>
          <t>Valor</t>
        </is>
      </c>
      <c r="C66" s="20" t="inlineStr">
        <is>
          <t>Estado</t>
        </is>
      </c>
    </row>
    <row r="67">
      <c r="A67" s="39" t="inlineStr">
        <is>
          <t>Mix de producto (debe ser 100 %)</t>
        </is>
      </c>
      <c r="B67" s="22">
        <f>SUM(Productos!H5:H12)</f>
        <v/>
      </c>
      <c r="C67" s="10">
        <f>IF(ABS(B67-1)&lt;0.0001,"OK","Revisar")</f>
        <v/>
      </c>
    </row>
    <row r="68">
      <c r="A68" s="39" t="inlineStr">
        <is>
          <t>Estacionalidad (debe ser 12,00)</t>
        </is>
      </c>
      <c r="B68" s="43">
        <f>SUM(C19:N19)</f>
        <v/>
      </c>
      <c r="C68" s="10">
        <f>IF(ABS(B68-12)&lt;0.0001,"OK","Revisar")</f>
        <v/>
      </c>
    </row>
    <row r="69">
      <c r="A69" s="39" t="inlineStr">
        <is>
          <t>Días operativos (deben ser 312)</t>
        </is>
      </c>
      <c r="B69" s="37">
        <f>SUM(C20:N20)</f>
        <v/>
      </c>
      <c r="C69" s="10">
        <f>IF(B69=312,"OK","Revisar")</f>
        <v/>
      </c>
    </row>
    <row r="70">
      <c r="A70" s="39" t="inlineStr">
        <is>
          <t>Capex inicial (debe ser 132.000 €)</t>
        </is>
      </c>
      <c r="B70" s="21">
        <f>Costos!B21</f>
        <v/>
      </c>
      <c r="C70" s="10">
        <f>IF(B70=132000,"OK","Revisar")</f>
        <v/>
      </c>
    </row>
    <row r="71">
      <c r="A71" s="39" t="inlineStr">
        <is>
          <t>Fuentes = usos</t>
        </is>
      </c>
      <c r="B71" s="21">
        <f>B41+B42</f>
        <v/>
      </c>
      <c r="C71" s="10">
        <f>IF(B71=Costos!B30,"OK","Revisar")</f>
        <v/>
      </c>
    </row>
    <row r="72">
      <c r="A72" s="39" t="inlineStr">
        <is>
          <t>Orden de escenarios (demanda y precio)</t>
        </is>
      </c>
      <c r="B72" s="44">
        <f>IF(AND(D27&lt;E27,E27&lt;F27,D28&lt;E28,E28&lt;F28,D29&lt;E29,E29&lt;F29),"OK","Revisar orden")</f>
        <v/>
      </c>
    </row>
    <row r="73">
      <c r="A73" s="39" t="inlineStr">
        <is>
          <t>Orden de costes (inverso)</t>
        </is>
      </c>
      <c r="B73" s="44">
        <f>IF(AND(D30&gt;E30,E30&gt;F30,D31&gt;E31,E31&gt;F31,D32&gt;E32,E32&gt;F32,D34&gt;E34,E34&gt;F34,D35&gt;E35,E35&gt;F35,D36&gt;E36,E36&gt;F36),"OK","Revisar orden")</f>
        <v/>
      </c>
    </row>
    <row r="75">
      <c r="A75" s="45" t="inlineStr">
        <is>
          <t>Si algún check dice «Revisar», no uses las cifras: corrige la entrada.</t>
        </is>
      </c>
    </row>
  </sheetData>
  <mergeCells count="8">
    <mergeCell ref="A12:O12"/>
    <mergeCell ref="A25:O25"/>
    <mergeCell ref="A65:O65"/>
    <mergeCell ref="A52:O52"/>
    <mergeCell ref="A60:O60"/>
    <mergeCell ref="A17:O17"/>
    <mergeCell ref="A40:O40"/>
    <mergeCell ref="A4:O4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N15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18" customWidth="1" min="3" max="3"/>
    <col width="10" customWidth="1" min="4" max="4"/>
    <col width="8" customWidth="1" min="5" max="5"/>
    <col width="12" customWidth="1" min="6" max="6"/>
    <col width="12" customWidth="1" min="7" max="7"/>
    <col width="8" customWidth="1" min="8" max="8"/>
    <col width="8" customWidth="1" min="9" max="9"/>
    <col width="13" customWidth="1" min="10" max="10"/>
    <col width="13" customWidth="1" min="11" max="11"/>
    <col width="11" customWidth="1" min="12" max="12"/>
    <col width="13" customWidth="1" min="13" max="13"/>
    <col width="10" customWidth="1" min="14" max="14"/>
  </cols>
  <sheetData>
    <row r="1">
      <c r="A1" s="28" t="inlineStr">
        <is>
          <t>Productos</t>
        </is>
      </c>
    </row>
    <row r="2">
      <c r="A2" s="8" t="inlineStr">
        <is>
          <t>PVP con IVA en la carta; precio neto y coste ajustado por merma en el modelo.</t>
        </is>
      </c>
    </row>
    <row r="4">
      <c r="A4" s="20" t="inlineStr">
        <is>
          <t>#</t>
        </is>
      </c>
      <c r="B4" s="20" t="inlineStr">
        <is>
          <t>Producto</t>
        </is>
      </c>
      <c r="C4" s="20" t="inlineStr">
        <is>
          <t>Categoría</t>
        </is>
      </c>
      <c r="D4" s="20" t="inlineStr">
        <is>
          <t>PVP</t>
        </is>
      </c>
      <c r="E4" s="20" t="inlineStr">
        <is>
          <t>IVA</t>
        </is>
      </c>
      <c r="F4" s="20" t="inlineStr">
        <is>
          <t>Precio neto</t>
        </is>
      </c>
      <c r="G4" s="20" t="inlineStr">
        <is>
          <t>Coste unitario</t>
        </is>
      </c>
      <c r="H4" s="20" t="inlineStr">
        <is>
          <t>Mix</t>
        </is>
      </c>
      <c r="I4" s="20" t="inlineStr">
        <is>
          <t>Merma</t>
        </is>
      </c>
      <c r="J4" s="20" t="inlineStr">
        <is>
          <t>Coste ajustado</t>
        </is>
      </c>
      <c r="K4" s="20" t="inlineStr">
        <is>
          <t>Margen unitario</t>
        </is>
      </c>
      <c r="L4" s="20" t="inlineStr">
        <is>
          <t>Margen %</t>
        </is>
      </c>
      <c r="M4" s="20" t="inlineStr">
        <is>
          <t>Contribución</t>
        </is>
      </c>
      <c r="N4" s="20" t="inlineStr">
        <is>
          <t>Check PVP</t>
        </is>
      </c>
    </row>
    <row r="5">
      <c r="A5" s="8" t="n">
        <v>1</v>
      </c>
      <c r="B5" t="inlineStr">
        <is>
          <t>Espresso</t>
        </is>
      </c>
      <c r="C5" t="inlineStr">
        <is>
          <t>Café</t>
        </is>
      </c>
      <c r="D5" s="46" t="n">
        <v>1.7</v>
      </c>
      <c r="E5" s="47" t="n">
        <v>0.1</v>
      </c>
      <c r="F5" s="48">
        <f>D5/(1+E5)</f>
        <v/>
      </c>
      <c r="G5" s="46" t="n">
        <v>0.42</v>
      </c>
      <c r="H5" s="40" t="n">
        <v>0.22</v>
      </c>
      <c r="I5" s="40" t="n">
        <v>0.04</v>
      </c>
      <c r="J5" s="48">
        <f>G5/(1-I5)</f>
        <v/>
      </c>
      <c r="K5" s="48">
        <f>F5-J5</f>
        <v/>
      </c>
      <c r="L5" s="22">
        <f>IFERROR(K5/F5,0)</f>
        <v/>
      </c>
      <c r="M5" s="48">
        <f>F5*H5</f>
        <v/>
      </c>
      <c r="N5" s="49">
        <f>IF(F5&gt;J5,1,0)</f>
        <v/>
      </c>
    </row>
    <row r="6">
      <c r="A6" s="8" t="n">
        <v>2</v>
      </c>
      <c r="B6" t="inlineStr">
        <is>
          <t>Flat white</t>
        </is>
      </c>
      <c r="C6" t="inlineStr">
        <is>
          <t>Café con leche</t>
        </is>
      </c>
      <c r="D6" s="46" t="n">
        <v>2.8</v>
      </c>
      <c r="E6" s="47" t="n">
        <v>0.1</v>
      </c>
      <c r="F6" s="48">
        <f>D6/(1+E6)</f>
        <v/>
      </c>
      <c r="G6" s="46" t="n">
        <v>0.72</v>
      </c>
      <c r="H6" s="40" t="n">
        <v>0.2</v>
      </c>
      <c r="I6" s="40" t="n">
        <v>0.04</v>
      </c>
      <c r="J6" s="48">
        <f>G6/(1-I6)</f>
        <v/>
      </c>
      <c r="K6" s="48">
        <f>F6-J6</f>
        <v/>
      </c>
      <c r="L6" s="22">
        <f>IFERROR(K6/F6,0)</f>
        <v/>
      </c>
      <c r="M6" s="48">
        <f>F6*H6</f>
        <v/>
      </c>
      <c r="N6" s="49">
        <f>IF(F6&gt;J6,1,0)</f>
        <v/>
      </c>
    </row>
    <row r="7">
      <c r="A7" s="8" t="n">
        <v>3</v>
      </c>
      <c r="B7" t="inlineStr">
        <is>
          <t>Cappuccino</t>
        </is>
      </c>
      <c r="C7" t="inlineStr">
        <is>
          <t>Café con leche</t>
        </is>
      </c>
      <c r="D7" s="46" t="n">
        <v>2.6</v>
      </c>
      <c r="E7" s="47" t="n">
        <v>0.1</v>
      </c>
      <c r="F7" s="48">
        <f>D7/(1+E7)</f>
        <v/>
      </c>
      <c r="G7" s="46" t="n">
        <v>0.66</v>
      </c>
      <c r="H7" s="40" t="n">
        <v>0.1</v>
      </c>
      <c r="I7" s="40" t="n">
        <v>0.04</v>
      </c>
      <c r="J7" s="48">
        <f>G7/(1-I7)</f>
        <v/>
      </c>
      <c r="K7" s="48">
        <f>F7-J7</f>
        <v/>
      </c>
      <c r="L7" s="22">
        <f>IFERROR(K7/F7,0)</f>
        <v/>
      </c>
      <c r="M7" s="48">
        <f>F7*H7</f>
        <v/>
      </c>
      <c r="N7" s="49">
        <f>IF(F7&gt;J7,1,0)</f>
        <v/>
      </c>
    </row>
    <row r="8">
      <c r="A8" s="8" t="n">
        <v>4</v>
      </c>
      <c r="B8" t="inlineStr">
        <is>
          <t>Latte</t>
        </is>
      </c>
      <c r="C8" t="inlineStr">
        <is>
          <t>Café con leche</t>
        </is>
      </c>
      <c r="D8" s="46" t="n">
        <v>2.9</v>
      </c>
      <c r="E8" s="47" t="n">
        <v>0.1</v>
      </c>
      <c r="F8" s="48">
        <f>D8/(1+E8)</f>
        <v/>
      </c>
      <c r="G8" s="46" t="n">
        <v>0.74</v>
      </c>
      <c r="H8" s="40" t="n">
        <v>0.13</v>
      </c>
      <c r="I8" s="40" t="n">
        <v>0.04</v>
      </c>
      <c r="J8" s="48">
        <f>G8/(1-I8)</f>
        <v/>
      </c>
      <c r="K8" s="48">
        <f>F8-J8</f>
        <v/>
      </c>
      <c r="L8" s="22">
        <f>IFERROR(K8/F8,0)</f>
        <v/>
      </c>
      <c r="M8" s="48">
        <f>F8*H8</f>
        <v/>
      </c>
      <c r="N8" s="49">
        <f>IF(F8&gt;J8,1,0)</f>
        <v/>
      </c>
    </row>
    <row r="9">
      <c r="A9" s="8" t="n">
        <v>5</v>
      </c>
      <c r="B9" t="inlineStr">
        <is>
          <t>Cold brew</t>
        </is>
      </c>
      <c r="C9" t="inlineStr">
        <is>
          <t>Café frío</t>
        </is>
      </c>
      <c r="D9" s="46" t="n">
        <v>3.4</v>
      </c>
      <c r="E9" s="47" t="n">
        <v>0.1</v>
      </c>
      <c r="F9" s="48">
        <f>D9/(1+E9)</f>
        <v/>
      </c>
      <c r="G9" s="46" t="n">
        <v>0.95</v>
      </c>
      <c r="H9" s="40" t="n">
        <v>0.08</v>
      </c>
      <c r="I9" s="40" t="n">
        <v>0.05</v>
      </c>
      <c r="J9" s="48">
        <f>G9/(1-I9)</f>
        <v/>
      </c>
      <c r="K9" s="48">
        <f>F9-J9</f>
        <v/>
      </c>
      <c r="L9" s="22">
        <f>IFERROR(K9/F9,0)</f>
        <v/>
      </c>
      <c r="M9" s="48">
        <f>F9*H9</f>
        <v/>
      </c>
      <c r="N9" s="49">
        <f>IF(F9&gt;J9,1,0)</f>
        <v/>
      </c>
    </row>
    <row r="10">
      <c r="A10" s="8" t="n">
        <v>6</v>
      </c>
      <c r="B10" t="inlineStr">
        <is>
          <t>Croissant</t>
        </is>
      </c>
      <c r="C10" t="inlineStr">
        <is>
          <t>Panadería</t>
        </is>
      </c>
      <c r="D10" s="46" t="n">
        <v>2.3</v>
      </c>
      <c r="E10" s="47" t="n">
        <v>0.1</v>
      </c>
      <c r="F10" s="48">
        <f>D10/(1+E10)</f>
        <v/>
      </c>
      <c r="G10" s="46" t="n">
        <v>0.82</v>
      </c>
      <c r="H10" s="40" t="n">
        <v>0.14</v>
      </c>
      <c r="I10" s="40" t="n">
        <v>0.08</v>
      </c>
      <c r="J10" s="48">
        <f>G10/(1-I10)</f>
        <v/>
      </c>
      <c r="K10" s="48">
        <f>F10-J10</f>
        <v/>
      </c>
      <c r="L10" s="22">
        <f>IFERROR(K10/F10,0)</f>
        <v/>
      </c>
      <c r="M10" s="48">
        <f>F10*H10</f>
        <v/>
      </c>
      <c r="N10" s="49">
        <f>IF(F10&gt;J10,1,0)</f>
        <v/>
      </c>
    </row>
    <row r="11">
      <c r="A11" s="8" t="n">
        <v>7</v>
      </c>
      <c r="B11" t="inlineStr">
        <is>
          <t>Tostada</t>
        </is>
      </c>
      <c r="C11" t="inlineStr">
        <is>
          <t>Salado</t>
        </is>
      </c>
      <c r="D11" s="46" t="n">
        <v>3.9</v>
      </c>
      <c r="E11" s="47" t="n">
        <v>0.1</v>
      </c>
      <c r="F11" s="48">
        <f>D11/(1+E11)</f>
        <v/>
      </c>
      <c r="G11" s="46" t="n">
        <v>1.18</v>
      </c>
      <c r="H11" s="40" t="n">
        <v>0.09</v>
      </c>
      <c r="I11" s="40" t="n">
        <v>0.06</v>
      </c>
      <c r="J11" s="48">
        <f>G11/(1-I11)</f>
        <v/>
      </c>
      <c r="K11" s="48">
        <f>F11-J11</f>
        <v/>
      </c>
      <c r="L11" s="22">
        <f>IFERROR(K11/F11,0)</f>
        <v/>
      </c>
      <c r="M11" s="48">
        <f>F11*H11</f>
        <v/>
      </c>
      <c r="N11" s="49">
        <f>IF(F11&gt;J11,1,0)</f>
        <v/>
      </c>
    </row>
    <row r="12">
      <c r="A12" s="8" t="n">
        <v>8</v>
      </c>
      <c r="B12" t="inlineStr">
        <is>
          <t>Bolsa café 250 g</t>
        </is>
      </c>
      <c r="C12" t="inlineStr">
        <is>
          <t>Retail</t>
        </is>
      </c>
      <c r="D12" s="46" t="n">
        <v>10.5</v>
      </c>
      <c r="E12" s="47" t="n">
        <v>0.1</v>
      </c>
      <c r="F12" s="48">
        <f>D12/(1+E12)</f>
        <v/>
      </c>
      <c r="G12" s="46" t="n">
        <v>4.6</v>
      </c>
      <c r="H12" s="40" t="n">
        <v>0.04</v>
      </c>
      <c r="I12" s="40" t="n">
        <v>0.02</v>
      </c>
      <c r="J12" s="48">
        <f>G12/(1-I12)</f>
        <v/>
      </c>
      <c r="K12" s="48">
        <f>F12-J12</f>
        <v/>
      </c>
      <c r="L12" s="22">
        <f>IFERROR(K12/F12,0)</f>
        <v/>
      </c>
      <c r="M12" s="48">
        <f>F12*H12</f>
        <v/>
      </c>
      <c r="N12" s="49">
        <f>IF(F12&gt;J12,1,0)</f>
        <v/>
      </c>
    </row>
    <row r="13">
      <c r="B13" s="12" t="inlineStr">
        <is>
          <t>Total / ponderado</t>
        </is>
      </c>
      <c r="D13" s="50">
        <f>SUMPRODUCT(D5:D12,H5:H12)</f>
        <v/>
      </c>
      <c r="E13" s="26">
        <f>""</f>
        <v/>
      </c>
      <c r="F13" s="51">
        <f>SUMPRODUCT(F5:F12,H5:H12)</f>
        <v/>
      </c>
      <c r="G13" s="26">
        <f>""</f>
        <v/>
      </c>
      <c r="H13" s="52">
        <f>SUM(H5:H12)</f>
        <v/>
      </c>
      <c r="I13" s="26">
        <f>""</f>
        <v/>
      </c>
      <c r="J13" s="51">
        <f>SUMPRODUCT(J5:J12,H5:H12)</f>
        <v/>
      </c>
      <c r="K13" s="51">
        <f>F13-J13</f>
        <v/>
      </c>
      <c r="L13" s="52">
        <f>IFERROR(K13/F13,0)</f>
        <v/>
      </c>
      <c r="M13" s="51">
        <f>SUM(M5:M12)</f>
        <v/>
      </c>
      <c r="N13" s="53">
        <f>SUM(N5:N12)</f>
        <v/>
      </c>
    </row>
    <row r="14">
      <c r="A14" t="inlineStr">
        <is>
          <t>Check</t>
        </is>
      </c>
      <c r="B14" t="inlineStr">
        <is>
          <t>Mix 100 %</t>
        </is>
      </c>
      <c r="C14" s="10">
        <f>IF(ABS(H13-1)&lt;0.0001,"OK","Revisar")</f>
        <v/>
      </c>
      <c r="D14" t="inlineStr">
        <is>
          <t>PVP &gt; coste</t>
        </is>
      </c>
      <c r="E14" s="10">
        <f>IF(N13=8,"OK","Revisar")</f>
        <v/>
      </c>
    </row>
    <row r="15">
      <c r="A15" s="24" t="inlineStr">
        <is>
          <t>La merma se aplica al coste, nunca al precio. El mix se mantiene constante en los tres años.</t>
        </is>
      </c>
    </row>
  </sheetData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H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5" customWidth="1" min="6" max="6"/>
    <col width="15" customWidth="1" min="7" max="7"/>
    <col width="15" customWidth="1" min="8" max="8"/>
  </cols>
  <sheetData>
    <row r="1">
      <c r="A1" s="28" t="inlineStr">
        <is>
          <t>Personal</t>
        </is>
      </c>
    </row>
    <row r="2">
      <c r="A2" s="8" t="inlineStr">
        <is>
          <t>Coste empresa = salario bruto × FTE × (1 + cotización) × (1 + crecimiento)^(año−1).</t>
        </is>
      </c>
    </row>
    <row r="4">
      <c r="A4" s="20" t="inlineStr">
        <is>
          <t>Rol</t>
        </is>
      </c>
      <c r="B4" s="20" t="inlineStr">
        <is>
          <t>Salario bruto anual</t>
        </is>
      </c>
      <c r="C4" s="20" t="inlineStr">
        <is>
          <t>FTE 2026</t>
        </is>
      </c>
      <c r="D4" s="20" t="inlineStr">
        <is>
          <t>FTE 2027</t>
        </is>
      </c>
      <c r="E4" s="20" t="inlineStr">
        <is>
          <t>FTE 2028</t>
        </is>
      </c>
      <c r="F4" s="20" t="inlineStr">
        <is>
          <t>Coste 2026</t>
        </is>
      </c>
      <c r="G4" s="20" t="inlineStr">
        <is>
          <t>Coste 2027</t>
        </is>
      </c>
      <c r="H4" s="20" t="inlineStr">
        <is>
          <t>Coste 2028</t>
        </is>
      </c>
    </row>
    <row r="5">
      <c r="A5" t="inlineStr">
        <is>
          <t>Gerente</t>
        </is>
      </c>
      <c r="B5" s="41" t="n">
        <v>30000</v>
      </c>
      <c r="C5" s="31" t="n">
        <v>1</v>
      </c>
      <c r="D5" s="31" t="n">
        <v>1</v>
      </c>
      <c r="E5" s="31" t="n">
        <v>1</v>
      </c>
      <c r="F5" s="21">
        <f>B5*C5*(1+$B$11)</f>
        <v/>
      </c>
      <c r="G5" s="21">
        <f>B5*(1+$B$12)*D5*(1+$B$11)</f>
        <v/>
      </c>
      <c r="H5" s="21">
        <f>B5*(1+$B$12)^2*E5*(1+$B$11)</f>
        <v/>
      </c>
    </row>
    <row r="6">
      <c r="A6" t="inlineStr">
        <is>
          <t>Barista</t>
        </is>
      </c>
      <c r="B6" s="41" t="n">
        <v>23000</v>
      </c>
      <c r="C6" s="31" t="n">
        <v>1</v>
      </c>
      <c r="D6" s="31" t="n">
        <v>1.5</v>
      </c>
      <c r="E6" s="31" t="n">
        <v>1.5</v>
      </c>
      <c r="F6" s="21">
        <f>B6*C6*(1+$B$11)</f>
        <v/>
      </c>
      <c r="G6" s="21">
        <f>B6*(1+$B$12)*D6*(1+$B$11)</f>
        <v/>
      </c>
      <c r="H6" s="21">
        <f>B6*(1+$B$12)^2*E6*(1+$B$11)</f>
        <v/>
      </c>
    </row>
    <row r="7">
      <c r="A7" t="inlineStr">
        <is>
          <t>Ayudante de cocina</t>
        </is>
      </c>
      <c r="B7" s="41" t="n">
        <v>21000</v>
      </c>
      <c r="C7" s="31" t="n">
        <v>1</v>
      </c>
      <c r="D7" s="31" t="n">
        <v>1</v>
      </c>
      <c r="E7" s="31" t="n">
        <v>1</v>
      </c>
      <c r="F7" s="21">
        <f>B7*C7*(1+$B$11)</f>
        <v/>
      </c>
      <c r="G7" s="21">
        <f>B7*(1+$B$12)*D7*(1+$B$11)</f>
        <v/>
      </c>
      <c r="H7" s="21">
        <f>B7*(1+$B$12)^2*E7*(1+$B$11)</f>
        <v/>
      </c>
    </row>
    <row r="8">
      <c r="A8" t="inlineStr">
        <is>
          <t>Fin de semana</t>
        </is>
      </c>
      <c r="B8" s="41" t="n">
        <v>20000</v>
      </c>
      <c r="C8" s="31" t="n">
        <v>0.5</v>
      </c>
      <c r="D8" s="31" t="n">
        <v>0.5</v>
      </c>
      <c r="E8" s="31" t="n">
        <v>0.5</v>
      </c>
      <c r="F8" s="21">
        <f>B8*C8*(1+$B$11)</f>
        <v/>
      </c>
      <c r="G8" s="21">
        <f>B8*(1+$B$12)*D8*(1+$B$11)</f>
        <v/>
      </c>
      <c r="H8" s="21">
        <f>B8*(1+$B$12)^2*E8*(1+$B$11)</f>
        <v/>
      </c>
    </row>
    <row r="9">
      <c r="A9" s="26" t="inlineStr">
        <is>
          <t>Total</t>
        </is>
      </c>
      <c r="C9" s="54">
        <f>SUM(C5:C8)</f>
        <v/>
      </c>
      <c r="D9" s="54">
        <f>SUM(D5:D8)</f>
        <v/>
      </c>
      <c r="E9" s="54">
        <f>SUM(E5:E8)</f>
        <v/>
      </c>
      <c r="F9" s="27">
        <f>SUM(F5:F8)</f>
        <v/>
      </c>
      <c r="G9" s="27">
        <f>SUM(G5:G8)</f>
        <v/>
      </c>
      <c r="H9" s="27">
        <f>SUM(H5:H8)</f>
        <v/>
      </c>
    </row>
    <row r="11">
      <c r="A11" t="inlineStr">
        <is>
          <t>Cotización empresarial</t>
        </is>
      </c>
      <c r="B11" s="40" t="n">
        <v>0.315</v>
      </c>
    </row>
    <row r="12">
      <c r="A12" t="inlineStr">
        <is>
          <t>Crecimiento salarial</t>
        </is>
      </c>
      <c r="B12" s="40" t="n">
        <v>0.03</v>
      </c>
    </row>
    <row r="13">
      <c r="A13" s="24" t="inlineStr">
        <is>
          <t>El barista pasa de 1,0 a 1,5 FTE en 2027. No se modelan horas extras, bajas ni bonificaciones.</t>
        </is>
      </c>
    </row>
  </sheetData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34" customWidth="1" min="4" max="4"/>
    <col width="20" customWidth="1" min="5" max="5"/>
  </cols>
  <sheetData>
    <row r="1">
      <c r="A1" s="28" t="inlineStr">
        <is>
          <t>Costos</t>
        </is>
      </c>
    </row>
    <row r="2">
      <c r="A2" s="8" t="inlineStr">
        <is>
          <t>Costes fijos, capex, mantenimiento y cuadre de fuentes y usos.</t>
        </is>
      </c>
    </row>
    <row r="4" ht="20" customHeight="1">
      <c r="A4" s="18" t="inlineStr">
        <is>
          <t>COSTES FIJOS</t>
        </is>
      </c>
      <c r="B4" s="19" t="n"/>
      <c r="C4" s="19" t="n"/>
      <c r="D4" s="19" t="n"/>
      <c r="E4" s="19" t="n"/>
    </row>
    <row r="5">
      <c r="A5" s="20" t="inlineStr">
        <is>
          <t>Concepto</t>
        </is>
      </c>
      <c r="B5" s="20" t="inlineStr">
        <is>
          <t>€/mes año 1</t>
        </is>
      </c>
      <c r="C5" s="20" t="inlineStr">
        <is>
          <t>€/año año 1</t>
        </is>
      </c>
      <c r="D5" s="20" t="inlineStr">
        <is>
          <t>Indexación</t>
        </is>
      </c>
      <c r="E5" s="20" t="inlineStr">
        <is>
          <t>Nota</t>
        </is>
      </c>
    </row>
    <row r="6">
      <c r="A6" t="inlineStr">
        <is>
          <t>Alquiler</t>
        </is>
      </c>
      <c r="B6" s="41" t="n">
        <v>1900</v>
      </c>
      <c r="C6" s="21">
        <f>B6*12</f>
        <v/>
      </c>
      <c r="D6" s="17" t="inlineStr">
        <is>
          <t>2,0 % anual × factor de alquiler</t>
        </is>
      </c>
      <c r="E6" s="17" t="inlineStr">
        <is>
          <t>92 m² a 20,65 €/m²/mes</t>
        </is>
      </c>
    </row>
    <row r="7">
      <c r="A7" t="inlineStr">
        <is>
          <t>Suministros</t>
        </is>
      </c>
      <c r="B7" s="41" t="n">
        <v>1450</v>
      </c>
      <c r="C7" s="21">
        <f>B7*12</f>
        <v/>
      </c>
      <c r="D7" s="17" t="inlineStr">
        <is>
          <t>Inflación de servicios del escenario</t>
        </is>
      </c>
      <c r="E7" s="17" t="inlineStr">
        <is>
          <t>Luz, gas, agua y residuos</t>
        </is>
      </c>
    </row>
    <row r="8">
      <c r="A8" t="inlineStr">
        <is>
          <t>Servicios fijos</t>
        </is>
      </c>
      <c r="B8" s="41" t="n">
        <v>780</v>
      </c>
      <c r="C8" s="21">
        <f>B8*12</f>
        <v/>
      </c>
      <c r="D8" s="17" t="inlineStr">
        <is>
          <t>Inflación de servicios del escenario</t>
        </is>
      </c>
      <c r="E8" s="17" t="inlineStr">
        <is>
          <t>Internet, TPV, software, seguro, gestoría y alarma</t>
        </is>
      </c>
    </row>
    <row r="9">
      <c r="A9" t="inlineStr">
        <is>
          <t>Marketing fijo</t>
        </is>
      </c>
      <c r="B9" s="41" t="n">
        <v>450</v>
      </c>
      <c r="C9" s="21">
        <f>B9*12</f>
        <v/>
      </c>
      <c r="D9" s="17" t="inlineStr">
        <is>
          <t>2,5 % anual</t>
        </is>
      </c>
      <c r="E9" s="17" t="inlineStr">
        <is>
          <t>Contenido, fotografía e impresos</t>
        </is>
      </c>
    </row>
    <row r="10">
      <c r="A10" t="inlineStr">
        <is>
          <t>Otros gastos</t>
        </is>
      </c>
      <c r="B10" s="41" t="n">
        <v>1100</v>
      </c>
      <c r="C10" s="21">
        <f>B10*12</f>
        <v/>
      </c>
      <c r="D10" s="17" t="inlineStr">
        <is>
          <t>Crecimiento de otros × factor</t>
        </is>
      </c>
      <c r="E10" s="17" t="inlineStr">
        <is>
          <t>Limpieza, mantenimiento, formación, banca y comisiones</t>
        </is>
      </c>
    </row>
    <row r="11">
      <c r="A11" s="26" t="inlineStr">
        <is>
          <t>Total</t>
        </is>
      </c>
      <c r="B11" s="27">
        <f>SUM(B6:B10)</f>
        <v/>
      </c>
      <c r="C11" s="27">
        <f>SUM(C6:C10)</f>
        <v/>
      </c>
    </row>
    <row r="13" ht="20" customHeight="1">
      <c r="A13" s="18" t="inlineStr">
        <is>
          <t>CAPEX INICIAL</t>
        </is>
      </c>
      <c r="B13" s="19" t="n"/>
      <c r="C13" s="19" t="n"/>
      <c r="D13" s="19" t="n"/>
      <c r="E13" s="19" t="n"/>
    </row>
    <row r="14">
      <c r="A14" s="20" t="inlineStr">
        <is>
          <t>Activo</t>
        </is>
      </c>
      <c r="B14" s="20" t="inlineStr">
        <is>
          <t>Importe</t>
        </is>
      </c>
      <c r="C14" s="20" t="inlineStr">
        <is>
          <t>Vida útil</t>
        </is>
      </c>
      <c r="D14" s="20" t="inlineStr">
        <is>
          <t>Amortización anual</t>
        </is>
      </c>
      <c r="E14" s="20" t="inlineStr">
        <is>
          <t>Amortización mensual</t>
        </is>
      </c>
    </row>
    <row r="15">
      <c r="A15" t="inlineStr">
        <is>
          <t>Obra y adecuación</t>
        </is>
      </c>
      <c r="B15" s="41" t="n">
        <v>65000</v>
      </c>
      <c r="C15" s="55" t="n">
        <v>10</v>
      </c>
      <c r="D15" s="21">
        <f>B15/C15</f>
        <v/>
      </c>
      <c r="E15" s="56">
        <f>D15/12</f>
        <v/>
      </c>
    </row>
    <row r="16">
      <c r="A16" t="inlineStr">
        <is>
          <t>Maquinaria de café</t>
        </is>
      </c>
      <c r="B16" s="41" t="n">
        <v>28000</v>
      </c>
      <c r="C16" s="55" t="n">
        <v>7</v>
      </c>
      <c r="D16" s="21">
        <f>B16/C16</f>
        <v/>
      </c>
      <c r="E16" s="56">
        <f>D16/12</f>
        <v/>
      </c>
    </row>
    <row r="17">
      <c r="A17" t="inlineStr">
        <is>
          <t>Mobiliario y menaje</t>
        </is>
      </c>
      <c r="B17" s="41" t="n">
        <v>15000</v>
      </c>
      <c r="C17" s="55" t="n">
        <v>8</v>
      </c>
      <c r="D17" s="21">
        <f>B17/C17</f>
        <v/>
      </c>
      <c r="E17" s="56">
        <f>D17/12</f>
        <v/>
      </c>
    </row>
    <row r="18">
      <c r="A18" t="inlineStr">
        <is>
          <t>Equipo de cocina y frío</t>
        </is>
      </c>
      <c r="B18" s="41" t="n">
        <v>12000</v>
      </c>
      <c r="C18" s="55" t="n">
        <v>8</v>
      </c>
      <c r="D18" s="21">
        <f>B18/C18</f>
        <v/>
      </c>
      <c r="E18" s="56">
        <f>D18/12</f>
        <v/>
      </c>
    </row>
    <row r="19">
      <c r="A19" t="inlineStr">
        <is>
          <t>Tecnología y TPV</t>
        </is>
      </c>
      <c r="B19" s="41" t="n">
        <v>7000</v>
      </c>
      <c r="C19" s="55" t="n">
        <v>4</v>
      </c>
      <c r="D19" s="21">
        <f>B19/C19</f>
        <v/>
      </c>
      <c r="E19" s="56">
        <f>D19/12</f>
        <v/>
      </c>
    </row>
    <row r="20">
      <c r="A20" t="inlineStr">
        <is>
          <t>Licencias y apertura</t>
        </is>
      </c>
      <c r="B20" s="41" t="n">
        <v>5000</v>
      </c>
      <c r="C20" s="55" t="n">
        <v>5</v>
      </c>
      <c r="D20" s="21">
        <f>B20/C20</f>
        <v/>
      </c>
      <c r="E20" s="56">
        <f>D20/12</f>
        <v/>
      </c>
    </row>
    <row r="21">
      <c r="A21" s="26" t="inlineStr">
        <is>
          <t>Total</t>
        </is>
      </c>
      <c r="B21" s="27">
        <f>SUM(B15:B20)</f>
        <v/>
      </c>
      <c r="D21" s="27">
        <f>SUM(D15:D20)</f>
        <v/>
      </c>
      <c r="E21" s="50">
        <f>SUM(E15:E20)</f>
        <v/>
      </c>
    </row>
    <row r="23" ht="20" customHeight="1">
      <c r="A23" s="18" t="inlineStr">
        <is>
          <t>CAPEX DE MANTENIMIENTO</t>
        </is>
      </c>
      <c r="B23" s="19" t="n"/>
      <c r="C23" s="19" t="n"/>
      <c r="D23" s="19" t="n"/>
      <c r="E23" s="19" t="n"/>
    </row>
    <row r="24">
      <c r="A24" t="inlineStr">
        <is>
          <t>Capex de mantenimiento</t>
        </is>
      </c>
      <c r="B24" s="40" t="n">
        <v>0.015</v>
      </c>
      <c r="C24" s="17" t="inlineStr">
        <is>
          <t>de ingresos netos, salida de caja de inversión</t>
        </is>
      </c>
    </row>
    <row r="26" ht="20" customHeight="1">
      <c r="A26" s="18" t="inlineStr">
        <is>
          <t>CUADRE DE FUENTES Y USOS</t>
        </is>
      </c>
      <c r="B26" s="19" t="n"/>
      <c r="C26" s="19" t="n"/>
      <c r="D26" s="19" t="n"/>
      <c r="E26" s="19" t="n"/>
    </row>
    <row r="27">
      <c r="A27" s="20" t="inlineStr">
        <is>
          <t>Concepto</t>
        </is>
      </c>
      <c r="B27" s="20" t="inlineStr">
        <is>
          <t>Importe</t>
        </is>
      </c>
    </row>
    <row r="28">
      <c r="A28" t="inlineStr">
        <is>
          <t>Capex inicial</t>
        </is>
      </c>
      <c r="B28" s="21">
        <f>B21</f>
        <v/>
      </c>
    </row>
    <row r="29">
      <c r="A29" t="inlineStr">
        <is>
          <t>Stock inicial</t>
        </is>
      </c>
      <c r="B29" s="21">
        <f>Supuestos!B46</f>
        <v/>
      </c>
    </row>
    <row r="30">
      <c r="A30" s="26" t="inlineStr">
        <is>
          <t>Total usos (capex + stock + caja)</t>
        </is>
      </c>
      <c r="B30" s="27">
        <f>B21+Supuestos!B46+Supuestos!B45</f>
        <v/>
      </c>
    </row>
    <row r="31">
      <c r="A31" s="26" t="inlineStr">
        <is>
          <t>Total fuentes (equity + deuda)</t>
        </is>
      </c>
      <c r="B31" s="27">
        <f>Supuestos!B41+Supuestos!B42</f>
        <v/>
      </c>
    </row>
    <row r="32">
      <c r="A32" t="inlineStr">
        <is>
          <t>Check</t>
        </is>
      </c>
      <c r="B32" s="10">
        <f>IF(B30=B31,"OK","Revisar")</f>
        <v/>
      </c>
    </row>
    <row r="34">
      <c r="A34" s="24" t="inlineStr">
        <is>
          <t>La caja de apertura es un uso, no un ingreso. El capex de mantenimiento no genera una capa adicional de amortización.</t>
        </is>
      </c>
    </row>
  </sheetData>
  <mergeCells count="4">
    <mergeCell ref="A26:E26"/>
    <mergeCell ref="A4:E4"/>
    <mergeCell ref="A13:E13"/>
    <mergeCell ref="A23:E23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A33A2B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Pesimista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1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C4623B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Base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2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5E6B52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Optimista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3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1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4" customWidth="1" min="3" max="3"/>
    <col width="78" customWidth="1" min="4" max="4"/>
  </cols>
  <sheetData>
    <row r="1">
      <c r="A1" s="15" t="inlineStr">
        <is>
          <t>Aprende con Aurora</t>
        </is>
      </c>
    </row>
    <row r="2">
      <c r="A2" s="8" t="inlineStr">
        <is>
          <t>La guía resumida del modelo: cómo leerlo, qué significa cada cifra y qué errores invalidan un modelo.</t>
        </is>
      </c>
    </row>
    <row r="4" ht="20" customHeight="1">
      <c r="A4" s="18" t="inlineStr">
        <is>
          <t>CÓMO USAR ESTA HOJA</t>
        </is>
      </c>
      <c r="B4" s="19" t="n"/>
      <c r="C4" s="19" t="n"/>
      <c r="D4" s="19" t="n"/>
    </row>
    <row r="5">
      <c r="B5" s="71" t="inlineStr">
        <is>
          <t>Lee el capítulo, mira el ejemplo vivo (se recalcula desde Base) y responde el ejercicio antes de abrir la respuesta.</t>
        </is>
      </c>
    </row>
    <row r="6">
      <c r="B6" s="71" t="inlineStr">
        <is>
          <t>Después abre el sitio: el dashboard tiene selector de escenario, laboratorio y la guía completa de 10 capítulos.</t>
        </is>
      </c>
    </row>
    <row r="7">
      <c r="B7" s="71" t="inlineStr">
        <is>
          <t>Los ejemplos vivos usan TEXT() y referencias a Base/Pesimista: si cambias un supuesto, el texto cambia.</t>
        </is>
      </c>
    </row>
    <row r="9" ht="20" customHeight="1">
      <c r="A9" s="18" t="inlineStr">
        <is>
          <t>LOS 10 CAPÍTULOS</t>
        </is>
      </c>
      <c r="B9" s="19" t="n"/>
      <c r="C9" s="19" t="n"/>
      <c r="D9" s="19" t="n"/>
    </row>
    <row r="11" ht="20" customHeight="1">
      <c r="A11" s="72" t="inlineStr">
        <is>
          <t>1. Qué es un modelo financiero</t>
        </is>
      </c>
    </row>
    <row r="12" ht="34" customHeight="1">
      <c r="B12" s="5" t="inlineStr">
        <is>
          <t>Un modelo no predice: conecta supuestos con consecuencias. Distingue supuesto, dato y fórmula; un escenario es una hipótesis coherente, no una promesa.</t>
        </is>
      </c>
    </row>
    <row r="13">
      <c r="A13" s="73" t="inlineStr">
        <is>
          <t>Ejemplo vivo</t>
        </is>
      </c>
      <c r="B13" s="39">
        <f>"Ingresos 2026: "&amp;TEXT(Base!B76,"#,##0 €")&amp;" · EBITDA: "&amp;TEXT(Base!B86,"#,##0 €")</f>
        <v/>
      </c>
    </row>
    <row r="14">
      <c r="A14" s="74" t="inlineStr">
        <is>
          <t>Ejercicio</t>
        </is>
      </c>
      <c r="B14" t="inlineStr">
        <is>
          <t>¿Qué diferencia hay entre beneficio neto y caja final?</t>
        </is>
      </c>
    </row>
    <row r="15">
      <c r="A15" s="75" t="inlineStr">
        <is>
          <t>Respuesta</t>
        </is>
      </c>
      <c r="B15" s="76">
        <f>"Beneficio neto: "&amp;TEXT(Base!B92,"#,##0 €")&amp;" · caja final: "&amp;TEXT(Base!B98,"#,##0 €")</f>
        <v/>
      </c>
    </row>
    <row r="19" ht="20" customHeight="1">
      <c r="A19" s="72" t="inlineStr">
        <is>
          <t>2. La cuenta de resultados</t>
        </is>
      </c>
    </row>
    <row r="20" ht="34" customHeight="1">
      <c r="B20" s="5" t="inlineStr">
        <is>
          <t>De ingresos a beneficio neto: COGS, margen bruto, personal, opex, EBITDA, amortización, EBIT, intereses, EBT e impuestos.</t>
        </is>
      </c>
    </row>
    <row r="21">
      <c r="A21" s="73" t="inlineStr">
        <is>
          <t>Ejemplo vivo</t>
        </is>
      </c>
      <c r="B21" s="39">
        <f>"Margen bruto 2026: "&amp;TEXT(Base!B78/Base!B76,"0.0%")&amp;" · margen EBITDA: "&amp;TEXT(Base!B86/Base!B76,"0.0%")</f>
        <v/>
      </c>
    </row>
    <row r="22">
      <c r="A22" s="74" t="inlineStr">
        <is>
          <t>Ejercicio</t>
        </is>
      </c>
      <c r="B22" t="inlineStr">
        <is>
          <t>¿Cuál es el beneficio neto de 2028 en Base?</t>
        </is>
      </c>
    </row>
    <row r="23">
      <c r="A23" s="75" t="inlineStr">
        <is>
          <t>Respuesta</t>
        </is>
      </c>
      <c r="B23" s="76">
        <f>"Beneficio neto 2028: "&amp;TEXT(Base!D92,"#,##0 €")</f>
        <v/>
      </c>
    </row>
    <row r="27" ht="20" customHeight="1">
      <c r="A27" s="72" t="inlineStr">
        <is>
          <t>3. Ingresos, tickets y estacionalidad</t>
        </is>
      </c>
    </row>
    <row r="28" ht="34" customHeight="1">
      <c r="B28" s="5" t="inlineStr">
        <is>
          <t>Tickets/día × días × ítems/ticket × precio neto. La rampa de 6 meses y la estacionalidad explican los valles de enero y agosto.</t>
        </is>
      </c>
    </row>
    <row r="29">
      <c r="A29" s="73" t="inlineStr">
        <is>
          <t>Ejemplo vivo</t>
        </is>
      </c>
      <c r="B29" s="39">
        <f>"Tickets/día 2026: "&amp;TEXT(Base!B99,"0.0")&amp;" · ticket medio neto: "&amp;TEXT(Base!B100,"0.00 €")</f>
        <v/>
      </c>
    </row>
    <row r="30">
      <c r="A30" s="74" t="inlineStr">
        <is>
          <t>Ejercicio</t>
        </is>
      </c>
      <c r="B30" t="inlineStr">
        <is>
          <t>¿Cuántos tickets vende el local en 2028?</t>
        </is>
      </c>
    </row>
    <row r="31">
      <c r="A31" s="75" t="inlineStr">
        <is>
          <t>Respuesta</t>
        </is>
      </c>
      <c r="B31" s="76">
        <f>"Tickets 2028: "&amp;TEXT(Base!AO13,"#,##0")</f>
        <v/>
      </c>
    </row>
    <row r="35" ht="20" customHeight="1">
      <c r="A35" s="72" t="inlineStr">
        <is>
          <t>4. COGS, merma y margen bruto</t>
        </is>
      </c>
    </row>
    <row r="36" ht="34" customHeight="1">
      <c r="B36" s="5" t="inlineStr">
        <is>
          <t>El coste se divide por (1 − merma). La merma se aplica al coste, no al precio. El mix cambia el margen aunque las ventas no cambien.</t>
        </is>
      </c>
    </row>
    <row r="37">
      <c r="A37" s="73" t="inlineStr">
        <is>
          <t>Ejemplo vivo</t>
        </is>
      </c>
      <c r="B37" s="39">
        <f>"COGS 2026: "&amp;TEXT(Base!B77,"#,##0 €")&amp;" · coste por ítem: "&amp;TEXT(Base!AM16/Base!AM14,"0.00 €")</f>
        <v/>
      </c>
    </row>
    <row r="38">
      <c r="A38" s="74" t="inlineStr">
        <is>
          <t>Ejercicio</t>
        </is>
      </c>
      <c r="B38" t="inlineStr">
        <is>
          <t>¿Cuál es el coste de producto por ítem en 2026?</t>
        </is>
      </c>
    </row>
    <row r="39">
      <c r="A39" s="75" t="inlineStr">
        <is>
          <t>Respuesta</t>
        </is>
      </c>
      <c r="B39" s="76">
        <f>"Coste por ítem: "&amp;TEXT(Base!AM16/Base!AM14,"0.00 €")</f>
        <v/>
      </c>
    </row>
    <row r="43" ht="20" customHeight="1">
      <c r="A43" s="72" t="inlineStr">
        <is>
          <t>5. Costes fijos y punto de equilibrio</t>
        </is>
      </c>
    </row>
    <row r="44" ht="34" customHeight="1">
      <c r="B44" s="5" t="inlineStr">
        <is>
          <t>BE EBITDA = costes fijos de caja / contribución por ticket / días. BE total añade amortización e intereses. El margen de seguridad es la distancia a ese punto.</t>
        </is>
      </c>
    </row>
    <row r="45">
      <c r="A45" s="73" t="inlineStr">
        <is>
          <t>Ejemplo vivo</t>
        </is>
      </c>
      <c r="B45" s="39">
        <f>"BE total 2026: "&amp;TEXT(Base!B103,"0.0")&amp;" tickets/día · margen de seguridad: "&amp;TEXT(Base!B104,"0.0%")</f>
        <v/>
      </c>
    </row>
    <row r="46">
      <c r="A46" s="74" t="inlineStr">
        <is>
          <t>Ejercicio</t>
        </is>
      </c>
      <c r="B46" t="inlineStr">
        <is>
          <t>¿Cuántos tickets/día necesita 2026 para cubrir todo?</t>
        </is>
      </c>
    </row>
    <row r="47">
      <c r="A47" s="75" t="inlineStr">
        <is>
          <t>Respuesta</t>
        </is>
      </c>
      <c r="B47" s="76">
        <f>"BE total: "&amp;TEXT(Base!B103,"0.0")&amp;" tickets/día"</f>
        <v/>
      </c>
    </row>
    <row r="51" ht="20" customHeight="1">
      <c r="A51" s="72" t="inlineStr">
        <is>
          <t>6. Personal y productividad</t>
        </is>
      </c>
    </row>
    <row r="52" ht="34" customHeight="1">
      <c r="B52" s="5" t="inlineStr">
        <is>
          <t>El coste empresa incluye salario bruto, FTE y 31,5 % de cotización. El escalón de 2027 (barista 1,5 FTE) explica por qué el margen no mejora ese año.</t>
        </is>
      </c>
    </row>
    <row r="53">
      <c r="A53" s="73" t="inlineStr">
        <is>
          <t>Ejemplo vivo</t>
        </is>
      </c>
      <c r="B53" s="39">
        <f>"Personal 2027: "&amp;TEXT(Base!C79,"#,##0 €")&amp;" · ingresos por FTE: "&amp;TEXT(Base!C76/Personal!D9,"#,##0 €")</f>
        <v/>
      </c>
    </row>
    <row r="54">
      <c r="A54" s="74" t="inlineStr">
        <is>
          <t>Ejercicio</t>
        </is>
      </c>
      <c r="B54" t="inlineStr">
        <is>
          <t>¿Cuánto cuesta el personal en 2027?</t>
        </is>
      </c>
    </row>
    <row r="55">
      <c r="A55" s="75" t="inlineStr">
        <is>
          <t>Respuesta</t>
        </is>
      </c>
      <c r="B55" s="76">
        <f>"Personal 2027: "&amp;TEXT(Base!C79,"#,##0 €")</f>
        <v/>
      </c>
    </row>
    <row r="59" ht="20" customHeight="1">
      <c r="A59" s="72" t="inlineStr">
        <is>
          <t>7. De EBITDA a caja</t>
        </is>
      </c>
    </row>
    <row r="60" ht="34" customHeight="1">
      <c r="B60" s="5" t="inlineStr">
        <is>
          <t>La amortización no es caja; el capex y el capital circulante sí. FCFE = FCFF − intereses + escudo − principal. Caja final = caja inicial + FCFE.</t>
        </is>
      </c>
    </row>
    <row r="61">
      <c r="A61" s="73" t="inlineStr">
        <is>
          <t>Ejemplo vivo</t>
        </is>
      </c>
      <c r="B61" s="39">
        <f>"FCFE 2028: "&amp;TEXT(Base!D97,"#,##0 €")&amp;" · caja final: "&amp;TEXT(Base!D98,"#,##0 €")</f>
        <v/>
      </c>
    </row>
    <row r="62">
      <c r="A62" s="74" t="inlineStr">
        <is>
          <t>Ejercicio</t>
        </is>
      </c>
      <c r="B62" t="inlineStr">
        <is>
          <t>¿Cuánto FCFE acumula el accionista en tres años?</t>
        </is>
      </c>
    </row>
    <row r="63">
      <c r="A63" s="75" t="inlineStr">
        <is>
          <t>Respuesta</t>
        </is>
      </c>
      <c r="B63" s="76">
        <f>"FCFE acumulado: "&amp;TEXT(Base!AL110,"#,##0 €")</f>
        <v/>
      </c>
    </row>
    <row r="67" ht="20" customHeight="1">
      <c r="A67" s="72" t="inlineStr">
        <is>
          <t>8. Deuda, intereses y DSCR</t>
        </is>
      </c>
    </row>
    <row r="68" ht="34" customHeight="1">
      <c r="B68" s="5" t="inlineStr">
        <is>
          <t>Préstamo francés: cuota constante, más interés al principio. DSCR = (EBITDA − impuestos) / (intereses + principal).</t>
        </is>
      </c>
    </row>
    <row r="69">
      <c r="A69" s="73" t="inlineStr">
        <is>
          <t>Ejemplo vivo</t>
        </is>
      </c>
      <c r="B69" s="39">
        <f>"Cuota: "&amp;TEXT(Supuestos!B48,"#,##0.00 €")&amp;" · DSCR 2028: "&amp;TEXT(Base!D105,"0.00")</f>
        <v/>
      </c>
    </row>
    <row r="70">
      <c r="A70" s="74" t="inlineStr">
        <is>
          <t>Ejercicio</t>
        </is>
      </c>
      <c r="B70" t="inlineStr">
        <is>
          <t>¿Cuál es el DSCR de 2028 en Base?</t>
        </is>
      </c>
    </row>
    <row r="71">
      <c r="A71" s="75" t="inlineStr">
        <is>
          <t>Respuesta</t>
        </is>
      </c>
      <c r="B71" s="76">
        <f>"DSCR 2028: "&amp;TEXT(Base!D105,"0.00")</f>
        <v/>
      </c>
    </row>
    <row r="75" ht="20" customHeight="1">
      <c r="A75" s="72" t="inlineStr">
        <is>
          <t>9. Escenarios y sensibilidad</t>
        </is>
      </c>
    </row>
    <row r="76" ht="34" customHeight="1">
      <c r="B76" s="5" t="inlineStr">
        <is>
          <t>Solo cambian diez variables. El Pesimista es el test de resistencia: demanda −12 %, costes +4,5 % y presión salarial.</t>
        </is>
      </c>
    </row>
    <row r="77">
      <c r="A77" s="73" t="inlineStr">
        <is>
          <t>Ejemplo vivo</t>
        </is>
      </c>
      <c r="B77" s="39">
        <f>"Pesimista 2028: EBITDA "&amp;TEXT(Pesimista!D86,"#,##0 €")&amp;" · beneficio neto "&amp;TEXT(Pesimista!D92,"#,##0 €")</f>
        <v/>
      </c>
    </row>
    <row r="78">
      <c r="A78" s="74" t="inlineStr">
        <is>
          <t>Ejercicio</t>
        </is>
      </c>
      <c r="B78" t="inlineStr">
        <is>
          <t>¿Cuánto EBITDA gana el Optimista en 2028?</t>
        </is>
      </c>
    </row>
    <row r="79">
      <c r="A79" s="75" t="inlineStr">
        <is>
          <t>Respuesta</t>
        </is>
      </c>
      <c r="B79" s="76">
        <f>"EBITDA Optimista 2028: "&amp;TEXT(Optimista!D86,"#,##0 €")</f>
        <v/>
      </c>
    </row>
    <row r="83" ht="20" customHeight="1">
      <c r="A83" s="72" t="inlineStr">
        <is>
          <t>10. Decidir con el modelo</t>
        </is>
      </c>
    </row>
    <row r="84" ht="34" customHeight="1">
      <c r="B84" s="5" t="inlineStr">
        <is>
          <t>Payback proyecto usa FCFF y 138.500 €; payback equity usa FCFE y 90.000 €. Cash-on-cash = FCFE acumulado / equity. Decide con el Pesimista, no con el Optimista.</t>
        </is>
      </c>
    </row>
    <row r="85">
      <c r="A85" s="73" t="inlineStr">
        <is>
          <t>Ejemplo vivo</t>
        </is>
      </c>
      <c r="B85" s="39">
        <f>"Payback proyecto/equity: "&amp;Base!B113&amp;" / "&amp;Base!B114&amp;" meses · cash-on-cash: "&amp;TEXT(Base!B106,"0.0%")</f>
        <v/>
      </c>
    </row>
    <row r="86">
      <c r="A86" s="74" t="inlineStr">
        <is>
          <t>Ejercicio</t>
        </is>
      </c>
      <c r="B86" t="inlineStr">
        <is>
          <t>¿Cuál es el cash-on-cash de Base a tres años?</t>
        </is>
      </c>
    </row>
    <row r="87">
      <c r="A87" s="75" t="inlineStr">
        <is>
          <t>Respuesta</t>
        </is>
      </c>
      <c r="B87" s="76">
        <f>"Cash-on-cash: "&amp;TEXT(Base!B106,"0.0%")</f>
        <v/>
      </c>
    </row>
    <row r="93" ht="20" customHeight="1">
      <c r="A93" s="18" t="inlineStr">
        <is>
          <t>FÓRMULAS CLAVE</t>
        </is>
      </c>
      <c r="B93" s="19" t="n"/>
      <c r="C93" s="19" t="n"/>
      <c r="D93" s="19" t="n"/>
    </row>
    <row r="94">
      <c r="A94" t="inlineStr">
        <is>
          <t>Precio neto</t>
        </is>
      </c>
      <c r="B94" s="77" t="inlineStr">
        <is>
          <t>PVP / (1 + IVA)</t>
        </is>
      </c>
    </row>
    <row r="95">
      <c r="A95" t="inlineStr">
        <is>
          <t>Coste ajustado</t>
        </is>
      </c>
      <c r="B95" s="77" t="inlineStr">
        <is>
          <t>Coste / (1 − merma)</t>
        </is>
      </c>
    </row>
    <row r="96">
      <c r="A96" t="inlineStr">
        <is>
          <t>Margen bruto</t>
        </is>
      </c>
      <c r="B96" s="77" t="inlineStr">
        <is>
          <t>Ingresos − COGS</t>
        </is>
      </c>
    </row>
    <row r="97">
      <c r="A97" t="inlineStr">
        <is>
          <t>EBITDA</t>
        </is>
      </c>
      <c r="B97" s="77" t="inlineStr">
        <is>
          <t>Margen bruto − personal − opex</t>
        </is>
      </c>
    </row>
    <row r="98">
      <c r="A98" t="inlineStr">
        <is>
          <t>EBIT</t>
        </is>
      </c>
      <c r="B98" s="77" t="inlineStr">
        <is>
          <t>EBITDA − amortización</t>
        </is>
      </c>
    </row>
    <row r="99">
      <c r="A99" t="inlineStr">
        <is>
          <t>FCFE</t>
        </is>
      </c>
      <c r="B99" s="77" t="inlineStr">
        <is>
          <t>FCFF − intereses + escudo − principal</t>
        </is>
      </c>
    </row>
    <row r="100">
      <c r="A100" t="inlineStr">
        <is>
          <t>Caja final</t>
        </is>
      </c>
      <c r="B100" s="77" t="inlineStr">
        <is>
          <t>Caja inicial + FCFE</t>
        </is>
      </c>
    </row>
    <row r="101">
      <c r="A101" t="inlineStr">
        <is>
          <t>Break-even total</t>
        </is>
      </c>
      <c r="B101" s="77" t="inlineStr">
        <is>
          <t>(Costes fijos + amortización + intereses) / contribución / días</t>
        </is>
      </c>
    </row>
    <row r="102">
      <c r="A102" t="inlineStr">
        <is>
          <t>DSCR</t>
        </is>
      </c>
      <c r="B102" s="77" t="inlineStr">
        <is>
          <t>(EBITDA − impuestos) / (intereses + principal)</t>
        </is>
      </c>
    </row>
    <row r="103">
      <c r="A103" t="inlineStr">
        <is>
          <t>Cash-on-cash</t>
        </is>
      </c>
      <c r="B103" s="77" t="inlineStr">
        <is>
          <t>FCFE acumulado / equity</t>
        </is>
      </c>
    </row>
    <row r="105" ht="20" customHeight="1">
      <c r="A105" s="18" t="inlineStr">
        <is>
          <t>GLOSARIO MÍNIMO</t>
        </is>
      </c>
      <c r="B105" s="19" t="n"/>
      <c r="C105" s="19" t="n"/>
      <c r="D105" s="19" t="n"/>
    </row>
    <row r="106">
      <c r="A106" s="78" t="inlineStr">
        <is>
          <t>Ticket</t>
        </is>
      </c>
      <c r="B106" s="79" t="inlineStr">
        <is>
          <t>Una compra completa de un cliente en una visita.</t>
        </is>
      </c>
    </row>
    <row r="107">
      <c r="A107" s="78" t="inlineStr">
        <is>
          <t>PVP</t>
        </is>
      </c>
      <c r="B107" s="79" t="inlineStr">
        <is>
          <t>Precio con IVA; el modelo usa el precio neto.</t>
        </is>
      </c>
    </row>
    <row r="108">
      <c r="A108" s="78" t="inlineStr">
        <is>
          <t>COGS</t>
        </is>
      </c>
      <c r="B108" s="79" t="inlineStr">
        <is>
          <t>Coste de los productos vendidos, incluida la merma.</t>
        </is>
      </c>
    </row>
    <row r="109">
      <c r="A109" s="78" t="inlineStr">
        <is>
          <t>Margen bruto</t>
        </is>
      </c>
      <c r="B109" s="79" t="inlineStr">
        <is>
          <t>Ingresos − COGS.</t>
        </is>
      </c>
    </row>
    <row r="110">
      <c r="A110" s="78" t="inlineStr">
        <is>
          <t>EBITDA</t>
        </is>
      </c>
      <c r="B110" s="79" t="inlineStr">
        <is>
          <t>Beneficio antes de intereses, impuestos, amortización y depreciación.</t>
        </is>
      </c>
    </row>
    <row r="111">
      <c r="A111" s="78" t="inlineStr">
        <is>
          <t>EBIT</t>
        </is>
      </c>
      <c r="B111" s="79" t="inlineStr">
        <is>
          <t>EBITDA − amortización.</t>
        </is>
      </c>
    </row>
    <row r="112">
      <c r="A112" s="78" t="inlineStr">
        <is>
          <t>Capital circulante</t>
        </is>
      </c>
      <c r="B112" s="79" t="inlineStr">
        <is>
          <t>Inventario + cobros − proveedores.</t>
        </is>
      </c>
    </row>
    <row r="113">
      <c r="A113" s="78" t="inlineStr">
        <is>
          <t>FCFF</t>
        </is>
      </c>
      <c r="B113" s="79" t="inlineStr">
        <is>
          <t>Caja para todos los financiadores, antes de la deuda.</t>
        </is>
      </c>
    </row>
    <row r="114">
      <c r="A114" s="78" t="inlineStr">
        <is>
          <t>FCFE</t>
        </is>
      </c>
      <c r="B114" s="79" t="inlineStr">
        <is>
          <t>Caja para el accionista, después de la deuda.</t>
        </is>
      </c>
    </row>
    <row r="115">
      <c r="A115" s="78" t="inlineStr">
        <is>
          <t>DSCR</t>
        </is>
      </c>
      <c r="B115" s="79" t="inlineStr">
        <is>
          <t>Cobertura del servicio de la deuda.</t>
        </is>
      </c>
    </row>
    <row r="116">
      <c r="A116" s="78" t="inlineStr">
        <is>
          <t>Payback</t>
        </is>
      </c>
      <c r="B116" s="79" t="inlineStr">
        <is>
          <t>Meses para recuperar la inversión.</t>
        </is>
      </c>
    </row>
    <row r="117">
      <c r="A117" s="78" t="inlineStr">
        <is>
          <t>Escenario</t>
        </is>
      </c>
      <c r="B117" s="79" t="inlineStr">
        <is>
          <t>Combinación coherente de supuestos; no es una predicción.</t>
        </is>
      </c>
    </row>
    <row r="119" ht="20" customHeight="1">
      <c r="A119" s="18" t="inlineStr">
        <is>
          <t>ERRORES COMUNES</t>
        </is>
      </c>
      <c r="B119" s="19" t="n"/>
      <c r="C119" s="19" t="n"/>
      <c r="D119" s="19" t="n"/>
    </row>
    <row r="120">
      <c r="A120" s="79" t="inlineStr">
        <is>
          <t>· Usar el PVP con IVA como ingreso: infla las ventas un 10 %.</t>
        </is>
      </c>
    </row>
    <row r="121">
      <c r="A121" s="79" t="inlineStr">
        <is>
          <t>· Aplicar la merma al precio en vez de al coste.</t>
        </is>
      </c>
    </row>
    <row r="122">
      <c r="A122" s="79" t="inlineStr">
        <is>
          <t>· Restar el capex del EBITDA: el capex es caja de inversión.</t>
        </is>
      </c>
    </row>
    <row r="123">
      <c r="A123" s="79" t="inlineStr">
        <is>
          <t>· Confundir beneficio neto con caja: la amortización y el circulante no son caja.</t>
        </is>
      </c>
    </row>
    <row r="124">
      <c r="A124" s="79" t="inlineStr">
        <is>
          <t>· Calcular el DSCR sobre el saldo del préstamo en vez de sobre la cuota.</t>
        </is>
      </c>
    </row>
    <row r="125">
      <c r="A125" s="79" t="inlineStr">
        <is>
          <t>· Presupuestar con el Optimista y esconder el Pesimista.</t>
        </is>
      </c>
    </row>
    <row r="126">
      <c r="A126" s="79" t="inlineStr">
        <is>
          <t>· Pegar valores en las celdas calculadas y romper el recálculo.</t>
        </is>
      </c>
    </row>
    <row r="127">
      <c r="A127" s="79" t="inlineStr">
        <is>
          <t>· Comparar el payback del proyecto con el del equity como si midieran lo mismo.</t>
        </is>
      </c>
    </row>
    <row r="129" ht="20" customHeight="1">
      <c r="A129" s="18" t="inlineStr">
        <is>
          <t>PREGUNTAS DE LECTURA</t>
        </is>
      </c>
      <c r="B129" s="19" t="n"/>
      <c r="C129" s="19" t="n"/>
      <c r="D129" s="19" t="n"/>
    </row>
    <row r="130">
      <c r="A130" s="79" t="inlineStr">
        <is>
          <t>· ¿Por qué enero factura menos que diciembre con el mismo local?</t>
        </is>
      </c>
    </row>
    <row r="131">
      <c r="A131" s="79" t="inlineStr">
        <is>
          <t>· ¿Qué línea del P&amp;L no es una salida de caja del periodo?</t>
        </is>
      </c>
    </row>
    <row r="132">
      <c r="A132" s="79" t="inlineStr">
        <is>
          <t>· ¿Por qué el payback del equity es menor que el del proyecto?</t>
        </is>
      </c>
    </row>
    <row r="133">
      <c r="A133" s="79" t="inlineStr">
        <is>
          <t>· ¿Qué pasa con el DSCR del Pesimista en 2028? ¿Qué decisión sugiere?</t>
        </is>
      </c>
    </row>
    <row r="134">
      <c r="A134" s="79" t="inlineStr">
        <is>
          <t>· ¿Qué supuesto es el menos evidenciado y cómo lo validarías?</t>
        </is>
      </c>
    </row>
    <row r="135">
      <c r="A135" s="79" t="inlineStr">
        <is>
          <t>· Si el alquiler sube un 10 %, ¿cuánto baja el EBITDA de 2026?</t>
        </is>
      </c>
    </row>
    <row r="138">
      <c r="A138" s="80" t="inlineStr">
        <is>
          <t>Aviso: material educativo. No es asesoramiento financiero, fiscal ni legal.</t>
        </is>
      </c>
    </row>
  </sheetData>
  <mergeCells count="95">
    <mergeCell ref="B60:D60"/>
    <mergeCell ref="A122:D122"/>
    <mergeCell ref="A134:D134"/>
    <mergeCell ref="B44:D44"/>
    <mergeCell ref="B53:D53"/>
    <mergeCell ref="A121:D121"/>
    <mergeCell ref="B28:D28"/>
    <mergeCell ref="B37:D37"/>
    <mergeCell ref="B108:D108"/>
    <mergeCell ref="B84:D84"/>
    <mergeCell ref="B30:D30"/>
    <mergeCell ref="A51:D51"/>
    <mergeCell ref="B6:D6"/>
    <mergeCell ref="B20:D20"/>
    <mergeCell ref="B94:D94"/>
    <mergeCell ref="A124:D124"/>
    <mergeCell ref="B62:D62"/>
    <mergeCell ref="B54:D54"/>
    <mergeCell ref="A27:D27"/>
    <mergeCell ref="B96:D96"/>
    <mergeCell ref="B70:D70"/>
    <mergeCell ref="B111:D111"/>
    <mergeCell ref="A126:D126"/>
    <mergeCell ref="B98:D98"/>
    <mergeCell ref="A135:D135"/>
    <mergeCell ref="B107:D107"/>
    <mergeCell ref="A35:D35"/>
    <mergeCell ref="A125:D125"/>
    <mergeCell ref="A19:D19"/>
    <mergeCell ref="A9:D9"/>
    <mergeCell ref="A127:D127"/>
    <mergeCell ref="B99:D99"/>
    <mergeCell ref="A59:D59"/>
    <mergeCell ref="B68:D68"/>
    <mergeCell ref="A11:D11"/>
    <mergeCell ref="B5:D5"/>
    <mergeCell ref="B36:D36"/>
    <mergeCell ref="B76:D76"/>
    <mergeCell ref="B45:D45"/>
    <mergeCell ref="B110:D110"/>
    <mergeCell ref="B85:D85"/>
    <mergeCell ref="B100:D100"/>
    <mergeCell ref="B109:D109"/>
    <mergeCell ref="B47:D47"/>
    <mergeCell ref="B31:D31"/>
    <mergeCell ref="B46:D46"/>
    <mergeCell ref="B102:D102"/>
    <mergeCell ref="A105:D105"/>
    <mergeCell ref="B21:D21"/>
    <mergeCell ref="A129:D129"/>
    <mergeCell ref="B39:D39"/>
    <mergeCell ref="B14:D14"/>
    <mergeCell ref="B23:D23"/>
    <mergeCell ref="A131:D131"/>
    <mergeCell ref="B13:D13"/>
    <mergeCell ref="B78:D78"/>
    <mergeCell ref="B87:D87"/>
    <mergeCell ref="A93:D93"/>
    <mergeCell ref="A83:D83"/>
    <mergeCell ref="B114:D114"/>
    <mergeCell ref="B63:D63"/>
    <mergeCell ref="B113:D113"/>
    <mergeCell ref="A133:D133"/>
    <mergeCell ref="A120:D120"/>
    <mergeCell ref="B22:D22"/>
    <mergeCell ref="B115:D115"/>
    <mergeCell ref="B12:D12"/>
    <mergeCell ref="B77:D77"/>
    <mergeCell ref="B86:D86"/>
    <mergeCell ref="B117:D117"/>
    <mergeCell ref="B61:D61"/>
    <mergeCell ref="A4:D4"/>
    <mergeCell ref="B101:D101"/>
    <mergeCell ref="A43:D43"/>
    <mergeCell ref="B116:D116"/>
    <mergeCell ref="B29:D29"/>
    <mergeCell ref="B69:D69"/>
    <mergeCell ref="B38:D38"/>
    <mergeCell ref="B103:D103"/>
    <mergeCell ref="B112:D112"/>
    <mergeCell ref="A67:D67"/>
    <mergeCell ref="A130:D130"/>
    <mergeCell ref="B15:D15"/>
    <mergeCell ref="B55:D55"/>
    <mergeCell ref="A123:D123"/>
    <mergeCell ref="B95:D95"/>
    <mergeCell ref="A132:D132"/>
    <mergeCell ref="A119:D119"/>
    <mergeCell ref="B79:D79"/>
    <mergeCell ref="B97:D97"/>
    <mergeCell ref="B106:D106"/>
    <mergeCell ref="B7:D7"/>
    <mergeCell ref="A75:D75"/>
    <mergeCell ref="B71:D71"/>
    <mergeCell ref="B52:D52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2026-10-26T03:03:54Z</dcterms:created>
  <dcterms:modified xsi:type="dcterms:W3CDTF">2026-10-26T03:03:55Z</dcterms:modified>
</cp:coreProperties>
</file>